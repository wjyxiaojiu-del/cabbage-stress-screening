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wangjunyi\Desktop\"/>
    </mc:Choice>
  </mc:AlternateContent>
  <xr:revisionPtr revIDLastSave="0" documentId="13_ncr:1_{56A803C2-DD3B-491C-B6E2-8174AA8F8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11" i="2"/>
  <c r="M12" i="2"/>
  <c r="M13" i="2"/>
  <c r="M14" i="2"/>
  <c r="M15" i="2"/>
  <c r="M16" i="2"/>
  <c r="M19" i="2"/>
  <c r="M20" i="2"/>
  <c r="M21" i="2"/>
  <c r="M22" i="2"/>
  <c r="M23" i="2"/>
  <c r="M24" i="2"/>
  <c r="M27" i="2"/>
  <c r="M28" i="2"/>
  <c r="M29" i="2"/>
  <c r="M30" i="2"/>
  <c r="M31" i="2"/>
  <c r="M32" i="2"/>
  <c r="M35" i="2"/>
  <c r="M36" i="2"/>
  <c r="M37" i="2"/>
  <c r="M38" i="2"/>
  <c r="M39" i="2"/>
  <c r="M40" i="2"/>
  <c r="M43" i="2"/>
  <c r="M44" i="2"/>
  <c r="M45" i="2"/>
  <c r="M46" i="2"/>
  <c r="M47" i="2"/>
  <c r="M48" i="2"/>
  <c r="M51" i="2"/>
  <c r="M52" i="2"/>
  <c r="M53" i="2"/>
  <c r="M54" i="2"/>
  <c r="M55" i="2"/>
  <c r="M56" i="2"/>
  <c r="M59" i="2"/>
  <c r="M60" i="2"/>
  <c r="M61" i="2"/>
  <c r="M62" i="2"/>
  <c r="M63" i="2"/>
  <c r="M64" i="2"/>
  <c r="M67" i="2"/>
  <c r="M68" i="2"/>
  <c r="M69" i="2"/>
  <c r="M70" i="2"/>
  <c r="M71" i="2"/>
  <c r="M72" i="2"/>
  <c r="M75" i="2"/>
  <c r="M76" i="2"/>
  <c r="M77" i="2"/>
  <c r="M78" i="2"/>
  <c r="M79" i="2"/>
  <c r="M80" i="2"/>
  <c r="M83" i="2"/>
  <c r="M84" i="2"/>
  <c r="M85" i="2"/>
  <c r="M86" i="2"/>
  <c r="M87" i="2"/>
  <c r="M88" i="2"/>
  <c r="M91" i="2"/>
  <c r="M92" i="2"/>
  <c r="M93" i="2"/>
  <c r="M94" i="2"/>
  <c r="M95" i="2"/>
  <c r="M96" i="2"/>
  <c r="M99" i="2"/>
  <c r="M100" i="2"/>
  <c r="M101" i="2"/>
  <c r="M102" i="2"/>
  <c r="M103" i="2"/>
  <c r="M104" i="2"/>
  <c r="M107" i="2"/>
  <c r="M108" i="2"/>
  <c r="M109" i="2"/>
  <c r="M110" i="2"/>
  <c r="M111" i="2"/>
  <c r="M112" i="2"/>
  <c r="M115" i="2"/>
  <c r="M116" i="2"/>
  <c r="M117" i="2"/>
  <c r="M118" i="2"/>
  <c r="M119" i="2"/>
  <c r="M120" i="2"/>
  <c r="M123" i="2"/>
  <c r="M124" i="2"/>
  <c r="M125" i="2"/>
  <c r="M126" i="2"/>
  <c r="M127" i="2"/>
  <c r="M128" i="2"/>
  <c r="M3" i="2"/>
</calcChain>
</file>

<file path=xl/sharedStrings.xml><?xml version="1.0" encoding="utf-8"?>
<sst xmlns="http://schemas.openxmlformats.org/spreadsheetml/2006/main" count="185" uniqueCount="49">
  <si>
    <r>
      <rPr>
        <sz val="11"/>
        <color theme="1"/>
        <rFont val="等线"/>
        <family val="3"/>
        <charset val="134"/>
      </rPr>
      <t>单株重</t>
    </r>
    <r>
      <rPr>
        <sz val="11"/>
        <color theme="1"/>
        <rFont val="Times New Roman"/>
        <family val="1"/>
      </rPr>
      <t>(g)</t>
    </r>
  </si>
  <si>
    <t>指标</t>
  </si>
  <si>
    <r>
      <rPr>
        <sz val="11"/>
        <color theme="1"/>
        <rFont val="等线"/>
        <family val="3"/>
        <charset val="134"/>
      </rPr>
      <t>株高</t>
    </r>
    <r>
      <rPr>
        <sz val="11"/>
        <color theme="1"/>
        <rFont val="Times New Roman"/>
        <family val="1"/>
      </rPr>
      <t>(cm)</t>
    </r>
  </si>
  <si>
    <t>株幅(cm)</t>
  </si>
  <si>
    <t>叶长(cm)</t>
  </si>
  <si>
    <r>
      <rPr>
        <sz val="11"/>
        <color theme="1"/>
        <rFont val="等线"/>
        <family val="3"/>
        <charset val="134"/>
      </rPr>
      <t>叶宽</t>
    </r>
    <r>
      <rPr>
        <sz val="11"/>
        <color theme="1"/>
        <rFont val="Times New Roman"/>
        <family val="1"/>
      </rPr>
      <t>(cm)</t>
    </r>
  </si>
  <si>
    <r>
      <rPr>
        <sz val="11"/>
        <color theme="1"/>
        <rFont val="等线"/>
        <family val="3"/>
        <charset val="134"/>
      </rPr>
      <t>叶片数</t>
    </r>
  </si>
  <si>
    <t>叶绿素</t>
  </si>
  <si>
    <r>
      <rPr>
        <sz val="11"/>
        <color theme="1"/>
        <rFont val="等线"/>
        <family val="3"/>
        <charset val="134"/>
      </rPr>
      <t>叶绿素</t>
    </r>
  </si>
  <si>
    <t>黑叶苏州青</t>
    <phoneticPr fontId="4" type="noConversion"/>
  </si>
  <si>
    <t>品种</t>
    <phoneticPr fontId="4" type="noConversion"/>
  </si>
  <si>
    <t>好吃上海青</t>
    <phoneticPr fontId="4" type="noConversion"/>
  </si>
  <si>
    <t>春冠青梗菜</t>
    <phoneticPr fontId="4" type="noConversion"/>
  </si>
  <si>
    <t>春华青梗油菜</t>
    <phoneticPr fontId="4" type="noConversion"/>
  </si>
  <si>
    <t xml:space="preserve"> 春蔓青梗菜</t>
    <phoneticPr fontId="4" type="noConversion"/>
  </si>
  <si>
    <t>春雷青梗菜</t>
    <phoneticPr fontId="4" type="noConversion"/>
  </si>
  <si>
    <t>德高青荟</t>
    <phoneticPr fontId="4" type="noConversion"/>
  </si>
  <si>
    <t>浙研究耐抽薹菜</t>
    <phoneticPr fontId="4" type="noConversion"/>
  </si>
  <si>
    <t>浙研黄玉</t>
    <phoneticPr fontId="4" type="noConversion"/>
  </si>
  <si>
    <t>早熟耐抽五号</t>
    <phoneticPr fontId="4" type="noConversion"/>
  </si>
  <si>
    <t>冬春秀绿</t>
    <phoneticPr fontId="4" type="noConversion"/>
  </si>
  <si>
    <t>跃春</t>
    <phoneticPr fontId="4" type="noConversion"/>
  </si>
  <si>
    <t>华美甜脆快菜</t>
    <phoneticPr fontId="4" type="noConversion"/>
  </si>
  <si>
    <t>冬绿</t>
    <phoneticPr fontId="4" type="noConversion"/>
  </si>
  <si>
    <t>迅雷</t>
    <phoneticPr fontId="4" type="noConversion"/>
  </si>
  <si>
    <t>信福</t>
    <phoneticPr fontId="4" type="noConversion"/>
  </si>
  <si>
    <t xml:space="preserve"> </t>
    <phoneticPr fontId="4" type="noConversion"/>
  </si>
  <si>
    <t>叶亮、泛黄</t>
    <phoneticPr fontId="4" type="noConversion"/>
  </si>
  <si>
    <t>整齐度好</t>
    <phoneticPr fontId="4" type="noConversion"/>
  </si>
  <si>
    <t>出苗率低</t>
    <phoneticPr fontId="4" type="noConversion"/>
  </si>
  <si>
    <t>外扩、出苗率稍差</t>
    <phoneticPr fontId="4" type="noConversion"/>
  </si>
  <si>
    <t>内收</t>
    <phoneticPr fontId="4" type="noConversion"/>
  </si>
  <si>
    <t>颜色深、叶片皱</t>
    <phoneticPr fontId="4" type="noConversion"/>
  </si>
  <si>
    <t>深绿、出苗率高</t>
    <phoneticPr fontId="4" type="noConversion"/>
  </si>
  <si>
    <t>出苗率比迅雷低</t>
    <phoneticPr fontId="4" type="noConversion"/>
  </si>
  <si>
    <t>外翻</t>
    <phoneticPr fontId="4" type="noConversion"/>
  </si>
  <si>
    <t>备注：</t>
    <phoneticPr fontId="4" type="noConversion"/>
  </si>
  <si>
    <t>小白菜整体</t>
    <phoneticPr fontId="4" type="noConversion"/>
  </si>
  <si>
    <t>出苗率：15&gt;16&gt;1&gt;3&gt;4&gt;7&gt;6&gt;14&gt;5</t>
    <phoneticPr fontId="4" type="noConversion"/>
  </si>
  <si>
    <t>整齐度：15&gt;16&gt;7&gt;1&gt;3&gt;5&gt;2&gt;14&gt;4&gt;6</t>
    <phoneticPr fontId="4" type="noConversion"/>
  </si>
  <si>
    <t>颜色深：15、11</t>
    <phoneticPr fontId="4" type="noConversion"/>
  </si>
  <si>
    <t>颜色浅：3、6</t>
    <phoneticPr fontId="4" type="noConversion"/>
  </si>
  <si>
    <t>快菜整体</t>
    <phoneticPr fontId="4" type="noConversion"/>
  </si>
  <si>
    <t>不良病虫吃的：9&gt;8&gt;11&gt;12&gt;13&gt;10</t>
    <phoneticPr fontId="4" type="noConversion"/>
  </si>
  <si>
    <t>长势：12&gt;9&gt;11&gt;10&gt;13&gt;8</t>
    <phoneticPr fontId="4" type="noConversion"/>
  </si>
  <si>
    <t>平均值</t>
    <phoneticPr fontId="4" type="noConversion"/>
  </si>
  <si>
    <t>数量（株）</t>
    <phoneticPr fontId="4" type="noConversion"/>
  </si>
  <si>
    <t>重量（g）</t>
    <phoneticPr fontId="4" type="noConversion"/>
  </si>
  <si>
    <t xml:space="preserve"> 单株重（g）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</si>
</sst>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1"/>
  <sheetViews>
    <sheetView tabSelected="1" topLeftCell="A85" zoomScale="130" zoomScaleNormal="130" workbookViewId="0">
      <selection activeCell="N120" sqref="N120"/>
    </sheetView>
  </sheetViews>
  <sheetFormatPr defaultColWidth="9" defaultRowHeight="14.25" x14ac:dyDescent="0.2"/>
  <cols>
    <col min="1" max="1" width="17.25" style="1" bestFit="1" customWidth="1"/>
    <col min="2" max="2" width="9" style="1"/>
    <col min="3" max="13" width="5.875" customWidth="1"/>
    <col min="19" max="19" width="35.75" bestFit="1" customWidth="1"/>
    <col min="20" max="20" width="33.25" bestFit="1" customWidth="1"/>
  </cols>
  <sheetData>
    <row r="1" spans="1:20" x14ac:dyDescent="0.2">
      <c r="A1" s="12" t="s">
        <v>10</v>
      </c>
      <c r="B1" s="1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14" t="s">
        <v>45</v>
      </c>
      <c r="O1" s="13" t="s">
        <v>46</v>
      </c>
      <c r="P1" s="13" t="s">
        <v>47</v>
      </c>
      <c r="Q1" s="13" t="s">
        <v>48</v>
      </c>
      <c r="S1" s="12" t="s">
        <v>36</v>
      </c>
      <c r="T1" s="12"/>
    </row>
    <row r="2" spans="1:20" ht="15" x14ac:dyDescent="0.25">
      <c r="A2" s="11" t="s">
        <v>9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14"/>
      <c r="N2" s="13" t="s">
        <v>26</v>
      </c>
      <c r="O2" s="13">
        <v>63</v>
      </c>
      <c r="P2" s="13">
        <v>500</v>
      </c>
      <c r="Q2" s="13">
        <v>7.9370000000000003</v>
      </c>
      <c r="S2" s="12" t="s">
        <v>37</v>
      </c>
      <c r="T2" s="12" t="s">
        <v>42</v>
      </c>
    </row>
    <row r="3" spans="1:20" ht="15" x14ac:dyDescent="0.2">
      <c r="B3" s="6" t="s">
        <v>2</v>
      </c>
      <c r="C3" s="7">
        <v>9.1999999999999993</v>
      </c>
      <c r="D3" s="7">
        <v>10.3</v>
      </c>
      <c r="E3" s="7">
        <v>8.6</v>
      </c>
      <c r="F3" s="7">
        <v>8.8000000000000007</v>
      </c>
      <c r="G3" s="7">
        <v>9.3000000000000007</v>
      </c>
      <c r="H3" s="7">
        <v>8.6999999999999993</v>
      </c>
      <c r="I3" s="7">
        <v>9.1999999999999993</v>
      </c>
      <c r="J3" s="7">
        <v>9.4</v>
      </c>
      <c r="K3" s="7">
        <v>8.8000000000000007</v>
      </c>
      <c r="L3" s="7">
        <v>10.1</v>
      </c>
      <c r="M3" s="7">
        <f>AVERAGE(C3:L3)</f>
        <v>9.24</v>
      </c>
      <c r="S3" s="12" t="s">
        <v>38</v>
      </c>
      <c r="T3" s="12" t="s">
        <v>44</v>
      </c>
    </row>
    <row r="4" spans="1:20" x14ac:dyDescent="0.2">
      <c r="B4" s="8" t="s">
        <v>3</v>
      </c>
      <c r="C4" s="7">
        <v>9.8000000000000007</v>
      </c>
      <c r="D4" s="7">
        <v>13.1</v>
      </c>
      <c r="E4" s="7">
        <v>7.4</v>
      </c>
      <c r="F4" s="7">
        <v>7</v>
      </c>
      <c r="G4" s="7">
        <v>8.1999999999999993</v>
      </c>
      <c r="H4" s="7">
        <v>8.5</v>
      </c>
      <c r="I4" s="7">
        <v>9.1</v>
      </c>
      <c r="J4" s="7">
        <v>10.199999999999999</v>
      </c>
      <c r="K4" s="7">
        <v>8.6</v>
      </c>
      <c r="L4" s="7">
        <v>11.3</v>
      </c>
      <c r="M4" s="7">
        <f t="shared" ref="M4:M67" si="0">AVERAGE(C4:L4)</f>
        <v>9.3199999999999985</v>
      </c>
      <c r="S4" s="12" t="s">
        <v>39</v>
      </c>
      <c r="T4" s="13" t="s">
        <v>43</v>
      </c>
    </row>
    <row r="5" spans="1:20" x14ac:dyDescent="0.2">
      <c r="B5" s="8" t="s">
        <v>4</v>
      </c>
      <c r="C5" s="7">
        <v>7.4</v>
      </c>
      <c r="D5" s="7">
        <v>5.2</v>
      </c>
      <c r="E5" s="7">
        <v>7.8</v>
      </c>
      <c r="F5" s="7">
        <v>7.1</v>
      </c>
      <c r="G5" s="7">
        <v>5.4</v>
      </c>
      <c r="H5" s="7">
        <v>6.7</v>
      </c>
      <c r="I5" s="7">
        <v>6.5</v>
      </c>
      <c r="J5" s="7">
        <v>7.2</v>
      </c>
      <c r="K5" s="7">
        <v>6.8</v>
      </c>
      <c r="L5" s="7">
        <v>6.6</v>
      </c>
      <c r="M5" s="7">
        <f t="shared" si="0"/>
        <v>6.67</v>
      </c>
      <c r="S5" s="12" t="s">
        <v>40</v>
      </c>
    </row>
    <row r="6" spans="1:20" ht="15" x14ac:dyDescent="0.2">
      <c r="B6" s="4" t="s">
        <v>5</v>
      </c>
      <c r="C6" s="7">
        <v>5</v>
      </c>
      <c r="D6" s="7">
        <v>4.5999999999999996</v>
      </c>
      <c r="E6" s="7">
        <v>4.7</v>
      </c>
      <c r="F6" s="7">
        <v>4.9000000000000004</v>
      </c>
      <c r="G6" s="7">
        <v>5.2</v>
      </c>
      <c r="H6" s="7">
        <v>4.3</v>
      </c>
      <c r="I6" s="7">
        <v>4.8</v>
      </c>
      <c r="J6" s="7">
        <v>3.9</v>
      </c>
      <c r="K6" s="7">
        <v>5.7</v>
      </c>
      <c r="L6" s="7">
        <v>5.4</v>
      </c>
      <c r="M6" s="7">
        <f t="shared" si="0"/>
        <v>4.8499999999999996</v>
      </c>
      <c r="S6" s="12" t="s">
        <v>41</v>
      </c>
    </row>
    <row r="7" spans="1:20" ht="15" x14ac:dyDescent="0.2">
      <c r="B7" s="4" t="s">
        <v>6</v>
      </c>
      <c r="C7" s="7">
        <v>6</v>
      </c>
      <c r="D7" s="7">
        <v>7</v>
      </c>
      <c r="E7" s="7">
        <v>6</v>
      </c>
      <c r="F7" s="7">
        <v>5</v>
      </c>
      <c r="G7" s="7">
        <v>6</v>
      </c>
      <c r="H7" s="7">
        <v>6</v>
      </c>
      <c r="I7" s="7">
        <v>7</v>
      </c>
      <c r="J7" s="7">
        <v>8</v>
      </c>
      <c r="K7" s="7">
        <v>5</v>
      </c>
      <c r="L7" s="7">
        <v>6</v>
      </c>
      <c r="M7" s="7">
        <f t="shared" si="0"/>
        <v>6.2</v>
      </c>
    </row>
    <row r="8" spans="1:20" x14ac:dyDescent="0.2">
      <c r="B8" s="3" t="s">
        <v>7</v>
      </c>
      <c r="C8" s="7">
        <v>69.599999999999994</v>
      </c>
      <c r="D8" s="7">
        <v>60.2</v>
      </c>
      <c r="E8" s="7">
        <v>67.5</v>
      </c>
      <c r="F8" s="7">
        <v>73.2</v>
      </c>
      <c r="G8" s="7">
        <v>75.400000000000006</v>
      </c>
      <c r="H8" s="7">
        <v>67.2</v>
      </c>
      <c r="I8" s="7">
        <v>66.7</v>
      </c>
      <c r="J8" s="7">
        <v>60.1</v>
      </c>
      <c r="K8" s="7">
        <v>70.3</v>
      </c>
      <c r="L8" s="7">
        <v>72.099999999999994</v>
      </c>
      <c r="M8" s="7">
        <f t="shared" si="0"/>
        <v>68.22999999999999</v>
      </c>
    </row>
    <row r="9" spans="1:20" x14ac:dyDescent="0.2">
      <c r="B9" s="1" t="s">
        <v>1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14" t="s">
        <v>45</v>
      </c>
    </row>
    <row r="10" spans="1:20" ht="15" x14ac:dyDescent="0.25">
      <c r="A10" s="11" t="s">
        <v>11</v>
      </c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O10" s="13">
        <v>79</v>
      </c>
      <c r="P10">
        <v>1160</v>
      </c>
      <c r="Q10">
        <v>14.683</v>
      </c>
    </row>
    <row r="11" spans="1:20" ht="15" x14ac:dyDescent="0.2">
      <c r="B11" s="6" t="s">
        <v>2</v>
      </c>
      <c r="C11" s="7">
        <v>12.3</v>
      </c>
      <c r="D11" s="7">
        <v>11.6</v>
      </c>
      <c r="E11" s="7">
        <v>12.5</v>
      </c>
      <c r="F11" s="7">
        <v>12.3</v>
      </c>
      <c r="G11" s="7">
        <v>8.6999999999999993</v>
      </c>
      <c r="H11" s="7">
        <v>12.6</v>
      </c>
      <c r="I11" s="7">
        <v>12.8</v>
      </c>
      <c r="J11" s="7">
        <v>12.5</v>
      </c>
      <c r="K11" s="7">
        <v>12.3</v>
      </c>
      <c r="L11" s="7">
        <v>10.3</v>
      </c>
      <c r="M11" s="7">
        <f t="shared" si="0"/>
        <v>11.79</v>
      </c>
    </row>
    <row r="12" spans="1:20" x14ac:dyDescent="0.2">
      <c r="B12" s="8" t="s">
        <v>3</v>
      </c>
      <c r="C12" s="7">
        <v>12.8</v>
      </c>
      <c r="D12" s="7">
        <v>12.4</v>
      </c>
      <c r="E12" s="7">
        <v>14.7</v>
      </c>
      <c r="F12" s="7">
        <v>10.5</v>
      </c>
      <c r="G12" s="7">
        <v>9.1</v>
      </c>
      <c r="H12" s="7">
        <v>13.4</v>
      </c>
      <c r="I12" s="7">
        <v>13.7</v>
      </c>
      <c r="J12" s="7">
        <v>10.6</v>
      </c>
      <c r="K12" s="7">
        <v>15.4</v>
      </c>
      <c r="L12" s="7">
        <v>10.199999999999999</v>
      </c>
      <c r="M12" s="7">
        <f t="shared" si="0"/>
        <v>12.280000000000001</v>
      </c>
    </row>
    <row r="13" spans="1:20" x14ac:dyDescent="0.2">
      <c r="B13" s="8" t="s">
        <v>4</v>
      </c>
      <c r="C13" s="7">
        <v>8.1999999999999993</v>
      </c>
      <c r="D13" s="7">
        <v>8.3000000000000007</v>
      </c>
      <c r="E13" s="7">
        <v>10.199999999999999</v>
      </c>
      <c r="F13" s="7">
        <v>7</v>
      </c>
      <c r="G13" s="7">
        <v>6.7</v>
      </c>
      <c r="H13" s="7">
        <v>7.6</v>
      </c>
      <c r="I13" s="7">
        <v>8.5</v>
      </c>
      <c r="J13" s="7">
        <v>7.2</v>
      </c>
      <c r="K13" s="7">
        <v>6.8</v>
      </c>
      <c r="L13" s="7">
        <v>6.2</v>
      </c>
      <c r="M13" s="7">
        <f t="shared" si="0"/>
        <v>7.6700000000000017</v>
      </c>
    </row>
    <row r="14" spans="1:20" ht="15" x14ac:dyDescent="0.2">
      <c r="B14" s="4" t="s">
        <v>5</v>
      </c>
      <c r="C14" s="7">
        <v>5.6</v>
      </c>
      <c r="D14" s="7">
        <v>6.4</v>
      </c>
      <c r="E14" s="7">
        <v>6.7</v>
      </c>
      <c r="F14" s="7">
        <v>4.8</v>
      </c>
      <c r="G14" s="7">
        <v>5.4</v>
      </c>
      <c r="H14" s="7">
        <v>5.6</v>
      </c>
      <c r="I14" s="7">
        <v>5.8</v>
      </c>
      <c r="J14" s="7">
        <v>4.8</v>
      </c>
      <c r="K14" s="7">
        <v>5.0999999999999996</v>
      </c>
      <c r="L14" s="7">
        <v>4.7</v>
      </c>
      <c r="M14" s="7">
        <f t="shared" si="0"/>
        <v>5.49</v>
      </c>
    </row>
    <row r="15" spans="1:20" ht="15" x14ac:dyDescent="0.2">
      <c r="B15" s="4" t="s">
        <v>6</v>
      </c>
      <c r="C15" s="7">
        <v>8</v>
      </c>
      <c r="D15" s="7">
        <v>8</v>
      </c>
      <c r="E15" s="7">
        <v>6</v>
      </c>
      <c r="F15" s="7">
        <v>7</v>
      </c>
      <c r="G15" s="7">
        <v>6</v>
      </c>
      <c r="H15" s="7">
        <v>7</v>
      </c>
      <c r="I15" s="7">
        <v>6</v>
      </c>
      <c r="J15" s="7">
        <v>6</v>
      </c>
      <c r="K15" s="7">
        <v>7</v>
      </c>
      <c r="L15" s="7">
        <v>7</v>
      </c>
      <c r="M15" s="7">
        <f t="shared" si="0"/>
        <v>6.8</v>
      </c>
    </row>
    <row r="16" spans="1:20" ht="15" x14ac:dyDescent="0.2">
      <c r="B16" s="9" t="s">
        <v>8</v>
      </c>
      <c r="C16" s="7">
        <v>43.4</v>
      </c>
      <c r="D16" s="7">
        <v>43</v>
      </c>
      <c r="E16" s="7">
        <v>41.3</v>
      </c>
      <c r="F16" s="7">
        <v>51.8</v>
      </c>
      <c r="G16" s="7">
        <v>43.5</v>
      </c>
      <c r="H16" s="7">
        <v>45.9</v>
      </c>
      <c r="I16" s="7">
        <v>46.7</v>
      </c>
      <c r="J16" s="7">
        <v>48</v>
      </c>
      <c r="K16" s="7">
        <v>43.5</v>
      </c>
      <c r="L16" s="7">
        <v>46.7</v>
      </c>
      <c r="M16" s="7">
        <f t="shared" si="0"/>
        <v>45.379999999999995</v>
      </c>
    </row>
    <row r="17" spans="1:17" x14ac:dyDescent="0.2">
      <c r="B17" s="1" t="s">
        <v>1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14" t="s">
        <v>45</v>
      </c>
    </row>
    <row r="18" spans="1:17" ht="15" x14ac:dyDescent="0.25">
      <c r="A18" s="11" t="s">
        <v>12</v>
      </c>
      <c r="B18" s="4" t="s">
        <v>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O18">
        <v>65</v>
      </c>
      <c r="P18">
        <v>1265</v>
      </c>
      <c r="Q18">
        <v>19.460999999999999</v>
      </c>
    </row>
    <row r="19" spans="1:17" ht="15" x14ac:dyDescent="0.2">
      <c r="B19" s="6" t="s">
        <v>2</v>
      </c>
      <c r="C19" s="7">
        <v>12.4</v>
      </c>
      <c r="D19" s="7">
        <v>10.4</v>
      </c>
      <c r="E19" s="7">
        <v>12.5</v>
      </c>
      <c r="F19" s="7">
        <v>12.5</v>
      </c>
      <c r="G19" s="7">
        <v>12.7</v>
      </c>
      <c r="H19" s="7">
        <v>11.2</v>
      </c>
      <c r="I19" s="7">
        <v>11.4</v>
      </c>
      <c r="J19" s="7">
        <v>10.7</v>
      </c>
      <c r="K19" s="7">
        <v>11.2</v>
      </c>
      <c r="L19" s="7">
        <v>10.3</v>
      </c>
      <c r="M19" s="7">
        <f t="shared" si="0"/>
        <v>11.530000000000001</v>
      </c>
    </row>
    <row r="20" spans="1:17" x14ac:dyDescent="0.2">
      <c r="B20" s="8" t="s">
        <v>3</v>
      </c>
      <c r="C20" s="7">
        <v>13.7</v>
      </c>
      <c r="D20" s="7">
        <v>9.6</v>
      </c>
      <c r="E20" s="7">
        <v>10.3</v>
      </c>
      <c r="F20" s="7">
        <v>14.8</v>
      </c>
      <c r="G20" s="7">
        <v>11.3</v>
      </c>
      <c r="H20" s="7">
        <v>10.8</v>
      </c>
      <c r="I20" s="7">
        <v>12.6</v>
      </c>
      <c r="J20" s="7">
        <v>10.199999999999999</v>
      </c>
      <c r="K20" s="7">
        <v>10.4</v>
      </c>
      <c r="L20" s="7">
        <v>11.2</v>
      </c>
      <c r="M20" s="7">
        <f t="shared" si="0"/>
        <v>11.489999999999998</v>
      </c>
    </row>
    <row r="21" spans="1:17" x14ac:dyDescent="0.2">
      <c r="B21" s="8" t="s">
        <v>4</v>
      </c>
      <c r="C21" s="7">
        <v>9.8000000000000007</v>
      </c>
      <c r="D21" s="7">
        <v>8.1</v>
      </c>
      <c r="E21" s="7">
        <v>9.5</v>
      </c>
      <c r="F21" s="7">
        <v>8.3000000000000007</v>
      </c>
      <c r="G21" s="7">
        <v>9.4</v>
      </c>
      <c r="H21" s="7">
        <v>10.3</v>
      </c>
      <c r="I21" s="7">
        <v>10.199999999999999</v>
      </c>
      <c r="J21" s="7">
        <v>10.199999999999999</v>
      </c>
      <c r="K21" s="7">
        <v>8.4</v>
      </c>
      <c r="L21" s="7">
        <v>9.5</v>
      </c>
      <c r="M21" s="7">
        <f t="shared" si="0"/>
        <v>9.370000000000001</v>
      </c>
    </row>
    <row r="22" spans="1:17" ht="15" x14ac:dyDescent="0.2">
      <c r="B22" s="4" t="s">
        <v>5</v>
      </c>
      <c r="C22" s="7">
        <v>7</v>
      </c>
      <c r="D22" s="7">
        <v>6.1</v>
      </c>
      <c r="E22" s="7">
        <v>7</v>
      </c>
      <c r="F22" s="7">
        <v>5.6</v>
      </c>
      <c r="G22" s="7">
        <v>6.6</v>
      </c>
      <c r="H22" s="7">
        <v>5.9</v>
      </c>
      <c r="I22" s="7">
        <v>6</v>
      </c>
      <c r="J22" s="7">
        <v>7.7</v>
      </c>
      <c r="K22" s="7">
        <v>5.7</v>
      </c>
      <c r="L22" s="7">
        <v>6.9</v>
      </c>
      <c r="M22" s="7">
        <f t="shared" si="0"/>
        <v>6.4500000000000011</v>
      </c>
    </row>
    <row r="23" spans="1:17" ht="15" x14ac:dyDescent="0.2">
      <c r="B23" s="4" t="s">
        <v>6</v>
      </c>
      <c r="C23" s="7">
        <v>8</v>
      </c>
      <c r="D23" s="7">
        <v>9</v>
      </c>
      <c r="E23" s="7">
        <v>8</v>
      </c>
      <c r="F23" s="7">
        <v>8</v>
      </c>
      <c r="G23" s="7">
        <v>6</v>
      </c>
      <c r="H23" s="7">
        <v>6</v>
      </c>
      <c r="I23" s="7">
        <v>6</v>
      </c>
      <c r="J23" s="7">
        <v>7</v>
      </c>
      <c r="K23" s="7">
        <v>7</v>
      </c>
      <c r="L23" s="7">
        <v>7</v>
      </c>
      <c r="M23" s="7">
        <f t="shared" si="0"/>
        <v>7.2</v>
      </c>
    </row>
    <row r="24" spans="1:17" ht="15" x14ac:dyDescent="0.2">
      <c r="B24" s="9" t="s">
        <v>8</v>
      </c>
      <c r="C24" s="7">
        <v>39</v>
      </c>
      <c r="D24" s="7">
        <v>38.9</v>
      </c>
      <c r="E24" s="7">
        <v>43.5</v>
      </c>
      <c r="F24" s="7">
        <v>41</v>
      </c>
      <c r="G24" s="7">
        <v>41.7</v>
      </c>
      <c r="H24" s="7">
        <v>42.7</v>
      </c>
      <c r="I24" s="7">
        <v>45.1</v>
      </c>
      <c r="J24" s="7">
        <v>43.3</v>
      </c>
      <c r="K24" s="7">
        <v>40.1</v>
      </c>
      <c r="L24" s="7">
        <v>48.1</v>
      </c>
      <c r="M24" s="7">
        <f t="shared" si="0"/>
        <v>42.340000000000011</v>
      </c>
    </row>
    <row r="25" spans="1:17" x14ac:dyDescent="0.2">
      <c r="B25" s="1" t="s">
        <v>1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14" t="s">
        <v>45</v>
      </c>
    </row>
    <row r="26" spans="1:17" ht="15" x14ac:dyDescent="0.25">
      <c r="A26" s="11" t="s">
        <v>16</v>
      </c>
      <c r="B26" s="4" t="s">
        <v>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O26">
        <v>80</v>
      </c>
      <c r="P26">
        <v>1035</v>
      </c>
      <c r="Q26">
        <v>12.9375</v>
      </c>
    </row>
    <row r="27" spans="1:17" ht="15" x14ac:dyDescent="0.2">
      <c r="B27" s="6" t="s">
        <v>2</v>
      </c>
      <c r="C27" s="7">
        <v>10.199999999999999</v>
      </c>
      <c r="D27" s="7">
        <v>12.3</v>
      </c>
      <c r="E27" s="7">
        <v>10.3</v>
      </c>
      <c r="F27" s="7">
        <v>15.4</v>
      </c>
      <c r="G27" s="7">
        <v>12.6</v>
      </c>
      <c r="H27" s="7">
        <v>12.1</v>
      </c>
      <c r="I27" s="7">
        <v>13.6</v>
      </c>
      <c r="J27" s="7">
        <v>11.3</v>
      </c>
      <c r="K27" s="7">
        <v>12.5</v>
      </c>
      <c r="L27" s="7">
        <v>12.4</v>
      </c>
      <c r="M27" s="7">
        <f t="shared" si="0"/>
        <v>12.27</v>
      </c>
    </row>
    <row r="28" spans="1:17" x14ac:dyDescent="0.2">
      <c r="B28" s="8" t="s">
        <v>3</v>
      </c>
      <c r="C28" s="7">
        <v>12.7</v>
      </c>
      <c r="D28" s="7">
        <v>10.4</v>
      </c>
      <c r="E28" s="7">
        <v>10.6</v>
      </c>
      <c r="F28" s="7">
        <v>14.8</v>
      </c>
      <c r="G28" s="7">
        <v>15.3</v>
      </c>
      <c r="H28" s="7">
        <v>9.4</v>
      </c>
      <c r="I28" s="7">
        <v>10</v>
      </c>
      <c r="J28" s="7">
        <v>11.4</v>
      </c>
      <c r="K28" s="7">
        <v>12.3</v>
      </c>
      <c r="L28" s="7">
        <v>11.5</v>
      </c>
      <c r="M28" s="7">
        <f t="shared" si="0"/>
        <v>11.84</v>
      </c>
    </row>
    <row r="29" spans="1:17" x14ac:dyDescent="0.2">
      <c r="B29" s="8" t="s">
        <v>4</v>
      </c>
      <c r="C29" s="7">
        <v>8.6</v>
      </c>
      <c r="D29" s="7">
        <v>7.5</v>
      </c>
      <c r="E29" s="7">
        <v>9.6</v>
      </c>
      <c r="F29" s="7">
        <v>7.5</v>
      </c>
      <c r="G29" s="7">
        <v>6.7</v>
      </c>
      <c r="H29" s="7">
        <v>8.5</v>
      </c>
      <c r="I29" s="7">
        <v>7.3</v>
      </c>
      <c r="J29" s="7">
        <v>8.1999999999999993</v>
      </c>
      <c r="K29" s="7">
        <v>7.7</v>
      </c>
      <c r="L29" s="7">
        <v>7.4</v>
      </c>
      <c r="M29" s="7">
        <f t="shared" si="0"/>
        <v>7.9000000000000012</v>
      </c>
    </row>
    <row r="30" spans="1:17" ht="15" x14ac:dyDescent="0.2">
      <c r="B30" s="4" t="s">
        <v>5</v>
      </c>
      <c r="C30" s="7">
        <v>5.4</v>
      </c>
      <c r="D30" s="7">
        <v>5.3</v>
      </c>
      <c r="E30" s="7">
        <v>6.8</v>
      </c>
      <c r="F30" s="7">
        <v>4.8</v>
      </c>
      <c r="G30" s="7">
        <v>4.9000000000000004</v>
      </c>
      <c r="H30" s="7">
        <v>5.9</v>
      </c>
      <c r="I30" s="7">
        <v>4.8</v>
      </c>
      <c r="J30" s="7">
        <v>5.5</v>
      </c>
      <c r="K30" s="7">
        <v>4.2</v>
      </c>
      <c r="L30" s="7">
        <v>4.5999999999999996</v>
      </c>
      <c r="M30" s="7">
        <f t="shared" si="0"/>
        <v>5.2200000000000006</v>
      </c>
    </row>
    <row r="31" spans="1:17" ht="15" x14ac:dyDescent="0.2">
      <c r="B31" s="4" t="s">
        <v>6</v>
      </c>
      <c r="C31" s="7">
        <v>7</v>
      </c>
      <c r="D31" s="7">
        <v>7</v>
      </c>
      <c r="E31" s="7">
        <v>8</v>
      </c>
      <c r="F31" s="7">
        <v>6</v>
      </c>
      <c r="G31" s="7">
        <v>6</v>
      </c>
      <c r="H31" s="7">
        <v>6</v>
      </c>
      <c r="I31" s="7">
        <v>7</v>
      </c>
      <c r="J31" s="7">
        <v>7</v>
      </c>
      <c r="K31" s="7">
        <v>6</v>
      </c>
      <c r="L31" s="7">
        <v>7</v>
      </c>
      <c r="M31" s="7">
        <f t="shared" si="0"/>
        <v>6.7</v>
      </c>
    </row>
    <row r="32" spans="1:17" ht="15" x14ac:dyDescent="0.2">
      <c r="B32" s="9" t="s">
        <v>8</v>
      </c>
      <c r="C32" s="7">
        <v>44.7</v>
      </c>
      <c r="D32" s="7">
        <v>41.3</v>
      </c>
      <c r="E32" s="7">
        <v>45.4</v>
      </c>
      <c r="F32" s="7">
        <v>46.7</v>
      </c>
      <c r="G32" s="7">
        <v>45.3</v>
      </c>
      <c r="H32" s="7">
        <v>43.5</v>
      </c>
      <c r="I32" s="7">
        <v>41.8</v>
      </c>
      <c r="J32" s="7">
        <v>40.4</v>
      </c>
      <c r="K32" s="7">
        <v>37.799999999999997</v>
      </c>
      <c r="L32" s="7">
        <v>42.6</v>
      </c>
      <c r="M32" s="7">
        <f t="shared" si="0"/>
        <v>42.95</v>
      </c>
    </row>
    <row r="33" spans="1:17" x14ac:dyDescent="0.2">
      <c r="B33" s="1" t="s">
        <v>1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14" t="s">
        <v>45</v>
      </c>
    </row>
    <row r="34" spans="1:17" ht="15" x14ac:dyDescent="0.25">
      <c r="A34" s="11" t="s">
        <v>13</v>
      </c>
      <c r="B34" s="4" t="s">
        <v>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O34">
        <v>61</v>
      </c>
      <c r="P34">
        <v>1396</v>
      </c>
      <c r="Q34">
        <v>22.885000000000002</v>
      </c>
    </row>
    <row r="35" spans="1:17" ht="15" x14ac:dyDescent="0.2">
      <c r="A35" s="12" t="s">
        <v>27</v>
      </c>
      <c r="B35" s="6" t="s">
        <v>2</v>
      </c>
      <c r="C35" s="7">
        <v>13.4</v>
      </c>
      <c r="D35" s="7">
        <v>13.5</v>
      </c>
      <c r="E35" s="7">
        <v>16.7</v>
      </c>
      <c r="F35" s="7">
        <v>13</v>
      </c>
      <c r="G35" s="7">
        <v>14.2</v>
      </c>
      <c r="H35" s="7">
        <v>13.4</v>
      </c>
      <c r="I35" s="7">
        <v>15.8</v>
      </c>
      <c r="J35" s="7">
        <v>12.6</v>
      </c>
      <c r="K35" s="7">
        <v>11.4</v>
      </c>
      <c r="L35" s="7">
        <v>9.6</v>
      </c>
      <c r="M35" s="7">
        <f t="shared" si="0"/>
        <v>13.36</v>
      </c>
    </row>
    <row r="36" spans="1:17" x14ac:dyDescent="0.2">
      <c r="B36" s="8" t="s">
        <v>3</v>
      </c>
      <c r="C36" s="7">
        <v>17.600000000000001</v>
      </c>
      <c r="D36" s="7">
        <v>19.8</v>
      </c>
      <c r="E36" s="7">
        <v>15.8</v>
      </c>
      <c r="F36" s="7">
        <v>13.5</v>
      </c>
      <c r="G36" s="7">
        <v>14.8</v>
      </c>
      <c r="H36" s="7">
        <v>16.100000000000001</v>
      </c>
      <c r="I36" s="7">
        <v>16.3</v>
      </c>
      <c r="J36" s="7">
        <v>17.399999999999999</v>
      </c>
      <c r="K36" s="7">
        <v>9.6999999999999993</v>
      </c>
      <c r="L36" s="7">
        <v>15.7</v>
      </c>
      <c r="M36" s="7">
        <f t="shared" si="0"/>
        <v>15.669999999999996</v>
      </c>
    </row>
    <row r="37" spans="1:17" x14ac:dyDescent="0.2">
      <c r="B37" s="8" t="s">
        <v>4</v>
      </c>
      <c r="C37" s="7">
        <v>11.5</v>
      </c>
      <c r="D37" s="7">
        <v>12.3</v>
      </c>
      <c r="E37" s="7">
        <v>11.7</v>
      </c>
      <c r="F37" s="7">
        <v>11.5</v>
      </c>
      <c r="G37" s="7">
        <v>12</v>
      </c>
      <c r="H37" s="7">
        <v>10.5</v>
      </c>
      <c r="I37" s="7">
        <v>12.2</v>
      </c>
      <c r="J37" s="7">
        <v>11.4</v>
      </c>
      <c r="K37" s="7">
        <v>11.6</v>
      </c>
      <c r="L37" s="7">
        <v>11.3</v>
      </c>
      <c r="M37" s="7">
        <f t="shared" si="0"/>
        <v>11.6</v>
      </c>
    </row>
    <row r="38" spans="1:17" ht="15" x14ac:dyDescent="0.2">
      <c r="B38" s="4" t="s">
        <v>5</v>
      </c>
      <c r="C38" s="7">
        <v>8.9</v>
      </c>
      <c r="D38" s="7">
        <v>9</v>
      </c>
      <c r="E38" s="7">
        <v>7.9</v>
      </c>
      <c r="F38" s="7">
        <v>8.9</v>
      </c>
      <c r="G38" s="7">
        <v>8.5</v>
      </c>
      <c r="H38" s="7">
        <v>7.7</v>
      </c>
      <c r="I38" s="7">
        <v>8.8000000000000007</v>
      </c>
      <c r="J38" s="7">
        <v>7.9</v>
      </c>
      <c r="K38" s="7">
        <v>10.199999999999999</v>
      </c>
      <c r="L38" s="7">
        <v>7.6</v>
      </c>
      <c r="M38" s="7">
        <f t="shared" si="0"/>
        <v>8.5400000000000009</v>
      </c>
    </row>
    <row r="39" spans="1:17" ht="15" x14ac:dyDescent="0.2">
      <c r="B39" s="4" t="s">
        <v>6</v>
      </c>
      <c r="C39" s="7">
        <v>6</v>
      </c>
      <c r="D39" s="7">
        <v>6</v>
      </c>
      <c r="E39" s="7">
        <v>5</v>
      </c>
      <c r="F39" s="7">
        <v>6</v>
      </c>
      <c r="G39" s="7">
        <v>6</v>
      </c>
      <c r="H39" s="7">
        <v>6</v>
      </c>
      <c r="I39" s="7">
        <v>5</v>
      </c>
      <c r="J39" s="7">
        <v>6</v>
      </c>
      <c r="K39" s="7">
        <v>4</v>
      </c>
      <c r="L39" s="7">
        <v>5</v>
      </c>
      <c r="M39" s="7">
        <f t="shared" si="0"/>
        <v>5.5</v>
      </c>
    </row>
    <row r="40" spans="1:17" ht="15" x14ac:dyDescent="0.2">
      <c r="B40" s="9" t="s">
        <v>8</v>
      </c>
      <c r="C40" s="7">
        <v>49.8</v>
      </c>
      <c r="D40" s="7">
        <v>47.3</v>
      </c>
      <c r="E40" s="7">
        <v>50.3</v>
      </c>
      <c r="F40" s="7">
        <v>46.3</v>
      </c>
      <c r="G40" s="7">
        <v>46.1</v>
      </c>
      <c r="H40" s="7">
        <v>43.1</v>
      </c>
      <c r="I40" s="7">
        <v>44</v>
      </c>
      <c r="J40" s="7">
        <v>45.9</v>
      </c>
      <c r="K40" s="7">
        <v>42.6</v>
      </c>
      <c r="L40" s="7">
        <v>44.5</v>
      </c>
      <c r="M40" s="7">
        <f t="shared" si="0"/>
        <v>45.989999999999995</v>
      </c>
    </row>
    <row r="41" spans="1:17" x14ac:dyDescent="0.2">
      <c r="B41" s="1" t="s">
        <v>1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14" t="s">
        <v>45</v>
      </c>
    </row>
    <row r="42" spans="1:17" ht="15" x14ac:dyDescent="0.25">
      <c r="A42" s="11" t="s">
        <v>14</v>
      </c>
      <c r="B42" s="4" t="s">
        <v>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O42">
        <v>61</v>
      </c>
      <c r="P42">
        <v>965</v>
      </c>
      <c r="Q42">
        <v>15.819000000000001</v>
      </c>
    </row>
    <row r="43" spans="1:17" ht="15" x14ac:dyDescent="0.2">
      <c r="A43" s="12" t="s">
        <v>29</v>
      </c>
      <c r="B43" s="6" t="s">
        <v>2</v>
      </c>
      <c r="C43" s="7">
        <v>13</v>
      </c>
      <c r="D43" s="7">
        <v>14.6</v>
      </c>
      <c r="E43" s="7">
        <v>12.1</v>
      </c>
      <c r="F43" s="7">
        <v>15.3</v>
      </c>
      <c r="G43" s="7">
        <v>14.6</v>
      </c>
      <c r="H43" s="7">
        <v>14.7</v>
      </c>
      <c r="I43" s="7">
        <v>14.6</v>
      </c>
      <c r="J43" s="7">
        <v>13.8</v>
      </c>
      <c r="K43" s="7">
        <v>14.7</v>
      </c>
      <c r="L43" s="7">
        <v>13.5</v>
      </c>
      <c r="M43" s="7">
        <f t="shared" si="0"/>
        <v>14.089999999999998</v>
      </c>
    </row>
    <row r="44" spans="1:17" x14ac:dyDescent="0.2">
      <c r="B44" s="8" t="s">
        <v>3</v>
      </c>
      <c r="C44" s="7">
        <v>12.7</v>
      </c>
      <c r="D44" s="7">
        <v>13.8</v>
      </c>
      <c r="E44" s="7">
        <v>11.4</v>
      </c>
      <c r="F44" s="7">
        <v>13.7</v>
      </c>
      <c r="G44" s="7">
        <v>14.8</v>
      </c>
      <c r="H44" s="7">
        <v>13.5</v>
      </c>
      <c r="I44" s="7">
        <v>13.6</v>
      </c>
      <c r="J44" s="7">
        <v>15</v>
      </c>
      <c r="K44" s="7">
        <v>11.8</v>
      </c>
      <c r="L44" s="7">
        <v>12.7</v>
      </c>
      <c r="M44" s="7">
        <f t="shared" si="0"/>
        <v>13.299999999999997</v>
      </c>
    </row>
    <row r="45" spans="1:17" x14ac:dyDescent="0.2">
      <c r="B45" s="8" t="s">
        <v>4</v>
      </c>
      <c r="C45" s="7">
        <v>12.3</v>
      </c>
      <c r="D45" s="7">
        <v>12</v>
      </c>
      <c r="E45" s="7">
        <v>13.2</v>
      </c>
      <c r="F45" s="7">
        <v>13.5</v>
      </c>
      <c r="G45" s="7">
        <v>12.3</v>
      </c>
      <c r="H45" s="7">
        <v>13.1</v>
      </c>
      <c r="I45" s="7">
        <v>13.4</v>
      </c>
      <c r="J45" s="7">
        <v>13.1</v>
      </c>
      <c r="K45" s="7">
        <v>13.7</v>
      </c>
      <c r="L45" s="7">
        <v>14</v>
      </c>
      <c r="M45" s="7">
        <f t="shared" si="0"/>
        <v>13.059999999999999</v>
      </c>
    </row>
    <row r="46" spans="1:17" ht="15" x14ac:dyDescent="0.2">
      <c r="B46" s="4" t="s">
        <v>5</v>
      </c>
      <c r="C46" s="7">
        <v>6.9</v>
      </c>
      <c r="D46" s="7">
        <v>6.2</v>
      </c>
      <c r="E46" s="7">
        <v>7.8</v>
      </c>
      <c r="F46" s="7">
        <v>7.8</v>
      </c>
      <c r="G46" s="7">
        <v>7.3</v>
      </c>
      <c r="H46" s="7">
        <v>7.7</v>
      </c>
      <c r="I46" s="7">
        <v>6.7</v>
      </c>
      <c r="J46" s="7">
        <v>7.7</v>
      </c>
      <c r="K46" s="7">
        <v>7.7</v>
      </c>
      <c r="L46" s="7">
        <v>6.5</v>
      </c>
      <c r="M46" s="7">
        <f t="shared" si="0"/>
        <v>7.2300000000000013</v>
      </c>
    </row>
    <row r="47" spans="1:17" ht="15" x14ac:dyDescent="0.2">
      <c r="B47" s="4" t="s">
        <v>6</v>
      </c>
      <c r="C47" s="7">
        <v>6</v>
      </c>
      <c r="D47" s="7">
        <v>5</v>
      </c>
      <c r="E47" s="7">
        <v>6</v>
      </c>
      <c r="F47" s="7">
        <v>7</v>
      </c>
      <c r="G47" s="7">
        <v>5</v>
      </c>
      <c r="H47" s="7">
        <v>6</v>
      </c>
      <c r="I47" s="7">
        <v>6</v>
      </c>
      <c r="J47" s="7">
        <v>6</v>
      </c>
      <c r="K47" s="7">
        <v>6</v>
      </c>
      <c r="L47" s="7">
        <v>5</v>
      </c>
      <c r="M47" s="7">
        <f t="shared" si="0"/>
        <v>5.8</v>
      </c>
    </row>
    <row r="48" spans="1:17" ht="15" x14ac:dyDescent="0.2">
      <c r="B48" s="9" t="s">
        <v>8</v>
      </c>
      <c r="C48" s="7">
        <v>35.5</v>
      </c>
      <c r="D48" s="7">
        <v>37.6</v>
      </c>
      <c r="E48" s="7">
        <v>40.700000000000003</v>
      </c>
      <c r="F48" s="7">
        <v>43.4</v>
      </c>
      <c r="G48" s="7">
        <v>49.5</v>
      </c>
      <c r="H48" s="7">
        <v>46.5</v>
      </c>
      <c r="I48" s="7">
        <v>34.1</v>
      </c>
      <c r="J48" s="7">
        <v>39.700000000000003</v>
      </c>
      <c r="K48" s="7">
        <v>48.7</v>
      </c>
      <c r="L48" s="7">
        <v>44.2</v>
      </c>
      <c r="M48" s="7">
        <f t="shared" si="0"/>
        <v>41.989999999999995</v>
      </c>
    </row>
    <row r="49" spans="1:17" x14ac:dyDescent="0.2">
      <c r="B49" s="1" t="s">
        <v>1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14" t="s">
        <v>45</v>
      </c>
    </row>
    <row r="50" spans="1:17" ht="15" x14ac:dyDescent="0.25">
      <c r="A50" s="11" t="s">
        <v>15</v>
      </c>
      <c r="B50" s="4" t="s">
        <v>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O50">
        <v>70</v>
      </c>
      <c r="P50">
        <v>1715</v>
      </c>
      <c r="Q50">
        <v>24.5</v>
      </c>
    </row>
    <row r="51" spans="1:17" ht="15" x14ac:dyDescent="0.2">
      <c r="A51" s="12" t="s">
        <v>28</v>
      </c>
      <c r="B51" s="6" t="s">
        <v>2</v>
      </c>
      <c r="C51" s="7">
        <v>16.399999999999999</v>
      </c>
      <c r="D51" s="7">
        <v>14.3</v>
      </c>
      <c r="E51" s="7">
        <v>14.8</v>
      </c>
      <c r="F51" s="7">
        <v>14</v>
      </c>
      <c r="G51" s="7">
        <v>14.6</v>
      </c>
      <c r="H51" s="7">
        <v>14.5</v>
      </c>
      <c r="I51" s="7">
        <v>14.5</v>
      </c>
      <c r="J51" s="7">
        <v>14.3</v>
      </c>
      <c r="K51" s="7">
        <v>13.5</v>
      </c>
      <c r="L51" s="7">
        <v>14.8</v>
      </c>
      <c r="M51" s="7">
        <f t="shared" si="0"/>
        <v>14.569999999999999</v>
      </c>
    </row>
    <row r="52" spans="1:17" x14ac:dyDescent="0.2">
      <c r="B52" s="8" t="s">
        <v>3</v>
      </c>
      <c r="C52" s="7">
        <v>11.2</v>
      </c>
      <c r="D52" s="7">
        <v>10</v>
      </c>
      <c r="E52" s="7">
        <v>14.7</v>
      </c>
      <c r="F52" s="7">
        <v>15.9</v>
      </c>
      <c r="G52" s="7">
        <v>12.1</v>
      </c>
      <c r="H52" s="7">
        <v>12.3</v>
      </c>
      <c r="I52" s="7">
        <v>14.1</v>
      </c>
      <c r="J52" s="7">
        <v>8.9</v>
      </c>
      <c r="K52" s="7">
        <v>10.6</v>
      </c>
      <c r="L52" s="7">
        <v>10.1</v>
      </c>
      <c r="M52" s="7">
        <f t="shared" si="0"/>
        <v>11.989999999999998</v>
      </c>
    </row>
    <row r="53" spans="1:17" x14ac:dyDescent="0.2">
      <c r="B53" s="8" t="s">
        <v>4</v>
      </c>
      <c r="C53" s="7">
        <v>11.4</v>
      </c>
      <c r="D53" s="7">
        <v>11.6</v>
      </c>
      <c r="E53" s="7">
        <v>11.4</v>
      </c>
      <c r="F53" s="7">
        <v>11.3</v>
      </c>
      <c r="G53" s="7">
        <v>11</v>
      </c>
      <c r="H53" s="7">
        <v>11.4</v>
      </c>
      <c r="I53" s="7">
        <v>10.4</v>
      </c>
      <c r="J53" s="7">
        <v>11.4</v>
      </c>
      <c r="K53" s="7">
        <v>11.5</v>
      </c>
      <c r="L53" s="7">
        <v>11.6</v>
      </c>
      <c r="M53" s="7">
        <f t="shared" si="0"/>
        <v>11.3</v>
      </c>
    </row>
    <row r="54" spans="1:17" ht="15" x14ac:dyDescent="0.2">
      <c r="B54" s="4" t="s">
        <v>5</v>
      </c>
      <c r="C54" s="7">
        <v>7.5</v>
      </c>
      <c r="D54" s="7">
        <v>8.5</v>
      </c>
      <c r="E54" s="7">
        <v>7.5</v>
      </c>
      <c r="F54" s="7">
        <v>6.9</v>
      </c>
      <c r="G54" s="7">
        <v>6.8</v>
      </c>
      <c r="H54" s="7">
        <v>7</v>
      </c>
      <c r="I54" s="7">
        <v>7.2</v>
      </c>
      <c r="J54" s="7">
        <v>6.6</v>
      </c>
      <c r="K54" s="7">
        <v>7.9</v>
      </c>
      <c r="L54" s="7">
        <v>8.4</v>
      </c>
      <c r="M54" s="7">
        <f t="shared" si="0"/>
        <v>7.4300000000000015</v>
      </c>
    </row>
    <row r="55" spans="1:17" ht="15" x14ac:dyDescent="0.2">
      <c r="B55" s="4" t="s">
        <v>6</v>
      </c>
      <c r="C55" s="7">
        <v>4</v>
      </c>
      <c r="D55" s="7">
        <v>5</v>
      </c>
      <c r="E55" s="7">
        <v>5</v>
      </c>
      <c r="F55" s="7">
        <v>6</v>
      </c>
      <c r="G55" s="7">
        <v>6</v>
      </c>
      <c r="H55" s="7">
        <v>5</v>
      </c>
      <c r="I55" s="7">
        <v>5</v>
      </c>
      <c r="J55" s="7">
        <v>6</v>
      </c>
      <c r="K55" s="7">
        <v>6</v>
      </c>
      <c r="L55" s="7">
        <v>4</v>
      </c>
      <c r="M55" s="7">
        <f t="shared" si="0"/>
        <v>5.2</v>
      </c>
    </row>
    <row r="56" spans="1:17" ht="15" x14ac:dyDescent="0.2">
      <c r="B56" s="9" t="s">
        <v>8</v>
      </c>
      <c r="C56" s="7">
        <v>43.7</v>
      </c>
      <c r="D56" s="7">
        <v>36.799999999999997</v>
      </c>
      <c r="E56" s="7">
        <v>40.1</v>
      </c>
      <c r="F56" s="7">
        <v>41.9</v>
      </c>
      <c r="G56" s="7">
        <v>43.1</v>
      </c>
      <c r="H56" s="7">
        <v>43.9</v>
      </c>
      <c r="I56" s="7">
        <v>51</v>
      </c>
      <c r="J56" s="7">
        <v>45.6</v>
      </c>
      <c r="K56" s="7">
        <v>41.5</v>
      </c>
      <c r="L56" s="7">
        <v>42.9</v>
      </c>
      <c r="M56" s="7">
        <f t="shared" si="0"/>
        <v>43.05</v>
      </c>
    </row>
    <row r="57" spans="1:17" x14ac:dyDescent="0.2">
      <c r="B57" s="1" t="s">
        <v>1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14" t="s">
        <v>45</v>
      </c>
    </row>
    <row r="58" spans="1:17" ht="15" x14ac:dyDescent="0.25">
      <c r="A58" s="11" t="s">
        <v>17</v>
      </c>
      <c r="B58" s="4" t="s"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7"/>
      <c r="O58">
        <v>47</v>
      </c>
      <c r="P58">
        <v>1405</v>
      </c>
      <c r="Q58">
        <v>29.893000000000001</v>
      </c>
    </row>
    <row r="59" spans="1:17" ht="15" x14ac:dyDescent="0.2">
      <c r="A59" s="12" t="s">
        <v>30</v>
      </c>
      <c r="B59" s="6" t="s">
        <v>2</v>
      </c>
      <c r="C59" s="7">
        <v>20.2</v>
      </c>
      <c r="D59" s="7">
        <v>21</v>
      </c>
      <c r="E59" s="7">
        <v>19.600000000000001</v>
      </c>
      <c r="F59" s="7">
        <v>18.3</v>
      </c>
      <c r="G59" s="7">
        <v>22</v>
      </c>
      <c r="H59" s="7">
        <v>18.399999999999999</v>
      </c>
      <c r="I59" s="7">
        <v>19.600000000000001</v>
      </c>
      <c r="J59" s="7">
        <v>17.399999999999999</v>
      </c>
      <c r="K59" s="7">
        <v>20.100000000000001</v>
      </c>
      <c r="L59" s="7">
        <v>21.4</v>
      </c>
      <c r="M59" s="7">
        <f t="shared" si="0"/>
        <v>19.8</v>
      </c>
    </row>
    <row r="60" spans="1:17" x14ac:dyDescent="0.2">
      <c r="B60" s="8" t="s">
        <v>3</v>
      </c>
      <c r="C60" s="7">
        <v>15.8</v>
      </c>
      <c r="D60" s="7">
        <v>17.100000000000001</v>
      </c>
      <c r="E60" s="7">
        <v>18.5</v>
      </c>
      <c r="F60" s="7">
        <v>22.1</v>
      </c>
      <c r="G60" s="7">
        <v>15.9</v>
      </c>
      <c r="H60" s="7">
        <v>15.1</v>
      </c>
      <c r="I60" s="7">
        <v>16.899999999999999</v>
      </c>
      <c r="J60" s="7">
        <v>12.8</v>
      </c>
      <c r="K60" s="7">
        <v>14.7</v>
      </c>
      <c r="L60" s="7">
        <v>17.7</v>
      </c>
      <c r="M60" s="7">
        <f t="shared" si="0"/>
        <v>16.66</v>
      </c>
    </row>
    <row r="61" spans="1:17" x14ac:dyDescent="0.2">
      <c r="B61" s="8" t="s">
        <v>4</v>
      </c>
      <c r="C61" s="7">
        <v>14.2</v>
      </c>
      <c r="D61" s="7">
        <v>15.5</v>
      </c>
      <c r="E61" s="7">
        <v>17.899999999999999</v>
      </c>
      <c r="F61" s="7">
        <v>18.3</v>
      </c>
      <c r="G61" s="7">
        <v>18.899999999999999</v>
      </c>
      <c r="H61" s="7">
        <v>19</v>
      </c>
      <c r="I61" s="7">
        <v>17.2</v>
      </c>
      <c r="J61" s="7">
        <v>18.3</v>
      </c>
      <c r="K61" s="7">
        <v>19.7</v>
      </c>
      <c r="L61" s="7">
        <v>20.399999999999999</v>
      </c>
      <c r="M61" s="7">
        <f t="shared" si="0"/>
        <v>17.939999999999998</v>
      </c>
    </row>
    <row r="62" spans="1:17" ht="15" x14ac:dyDescent="0.2">
      <c r="B62" s="4" t="s">
        <v>5</v>
      </c>
      <c r="C62" s="7">
        <v>9.3000000000000007</v>
      </c>
      <c r="D62" s="7">
        <v>15.2</v>
      </c>
      <c r="E62" s="7">
        <v>12.2</v>
      </c>
      <c r="F62" s="7">
        <v>13.5</v>
      </c>
      <c r="G62" s="7">
        <v>13.5</v>
      </c>
      <c r="H62" s="7">
        <v>13.2</v>
      </c>
      <c r="I62" s="7">
        <v>12.5</v>
      </c>
      <c r="J62" s="7">
        <v>12.9</v>
      </c>
      <c r="K62" s="7">
        <v>13.6</v>
      </c>
      <c r="L62" s="7">
        <v>13.6</v>
      </c>
      <c r="M62" s="7">
        <f t="shared" si="0"/>
        <v>12.95</v>
      </c>
    </row>
    <row r="63" spans="1:17" ht="15" x14ac:dyDescent="0.2">
      <c r="B63" s="4" t="s">
        <v>6</v>
      </c>
      <c r="C63" s="7">
        <v>9</v>
      </c>
      <c r="D63" s="7">
        <v>8</v>
      </c>
      <c r="E63" s="7">
        <v>8</v>
      </c>
      <c r="F63" s="7">
        <v>9</v>
      </c>
      <c r="G63" s="7">
        <v>9</v>
      </c>
      <c r="H63" s="7">
        <v>8</v>
      </c>
      <c r="I63" s="7">
        <v>7</v>
      </c>
      <c r="J63" s="7">
        <v>8</v>
      </c>
      <c r="K63" s="7">
        <v>8</v>
      </c>
      <c r="L63" s="7">
        <v>8</v>
      </c>
      <c r="M63" s="7">
        <f t="shared" si="0"/>
        <v>8.1999999999999993</v>
      </c>
    </row>
    <row r="64" spans="1:17" ht="15" x14ac:dyDescent="0.2">
      <c r="B64" s="9" t="s">
        <v>8</v>
      </c>
      <c r="C64" s="7">
        <v>26.1</v>
      </c>
      <c r="D64" s="7">
        <v>21.1</v>
      </c>
      <c r="E64" s="7">
        <v>23.8</v>
      </c>
      <c r="F64" s="7">
        <v>25.2</v>
      </c>
      <c r="G64" s="7">
        <v>27.5</v>
      </c>
      <c r="H64" s="7">
        <v>27.8</v>
      </c>
      <c r="I64" s="7">
        <v>22.8</v>
      </c>
      <c r="J64" s="7">
        <v>23.5</v>
      </c>
      <c r="K64" s="7">
        <v>23.3</v>
      </c>
      <c r="L64" s="7">
        <v>23.6</v>
      </c>
      <c r="M64" s="7">
        <f t="shared" si="0"/>
        <v>24.470000000000002</v>
      </c>
    </row>
    <row r="65" spans="1:17" x14ac:dyDescent="0.2">
      <c r="B65" s="1" t="s">
        <v>1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14" t="s">
        <v>45</v>
      </c>
    </row>
    <row r="66" spans="1:17" ht="15" x14ac:dyDescent="0.25">
      <c r="A66" s="11" t="s">
        <v>18</v>
      </c>
      <c r="B66" s="4" t="s">
        <v>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7"/>
      <c r="O66">
        <v>46</v>
      </c>
      <c r="P66">
        <v>1900</v>
      </c>
      <c r="Q66">
        <v>41.304000000000002</v>
      </c>
    </row>
    <row r="67" spans="1:17" ht="15" x14ac:dyDescent="0.2">
      <c r="A67" s="12" t="s">
        <v>31</v>
      </c>
      <c r="B67" s="6" t="s">
        <v>2</v>
      </c>
      <c r="C67" s="7">
        <v>22.3</v>
      </c>
      <c r="D67" s="7">
        <v>20.100000000000001</v>
      </c>
      <c r="E67" s="7">
        <v>21.5</v>
      </c>
      <c r="F67" s="7">
        <v>22.5</v>
      </c>
      <c r="G67" s="7">
        <v>21.2</v>
      </c>
      <c r="H67" s="7">
        <v>20</v>
      </c>
      <c r="I67" s="7">
        <v>19.100000000000001</v>
      </c>
      <c r="J67" s="7">
        <v>22.4</v>
      </c>
      <c r="K67" s="7">
        <v>22.4</v>
      </c>
      <c r="L67" s="7">
        <v>22.3</v>
      </c>
      <c r="M67" s="7">
        <f t="shared" si="0"/>
        <v>21.380000000000003</v>
      </c>
    </row>
    <row r="68" spans="1:17" x14ac:dyDescent="0.2">
      <c r="B68" s="8" t="s">
        <v>3</v>
      </c>
      <c r="C68" s="7">
        <v>20.2</v>
      </c>
      <c r="D68" s="7">
        <v>13.4</v>
      </c>
      <c r="E68" s="7">
        <v>17.8</v>
      </c>
      <c r="F68" s="7">
        <v>17.600000000000001</v>
      </c>
      <c r="G68" s="7">
        <v>12.6</v>
      </c>
      <c r="H68" s="7">
        <v>17.5</v>
      </c>
      <c r="I68" s="7">
        <v>12.7</v>
      </c>
      <c r="J68" s="7">
        <v>11.9</v>
      </c>
      <c r="K68" s="7">
        <v>15.7</v>
      </c>
      <c r="L68" s="7">
        <v>12.9</v>
      </c>
      <c r="M68" s="7">
        <f t="shared" ref="M68:M128" si="1">AVERAGE(C68:L68)</f>
        <v>15.23</v>
      </c>
    </row>
    <row r="69" spans="1:17" x14ac:dyDescent="0.2">
      <c r="B69" s="8" t="s">
        <v>4</v>
      </c>
      <c r="C69" s="7">
        <v>17.2</v>
      </c>
      <c r="D69" s="7">
        <v>17.600000000000001</v>
      </c>
      <c r="E69" s="7">
        <v>18.600000000000001</v>
      </c>
      <c r="F69" s="7">
        <v>16.8</v>
      </c>
      <c r="G69" s="7">
        <v>17</v>
      </c>
      <c r="H69" s="7">
        <v>20.399999999999999</v>
      </c>
      <c r="I69" s="7">
        <v>18</v>
      </c>
      <c r="J69" s="7">
        <v>18.5</v>
      </c>
      <c r="K69" s="7">
        <v>21.5</v>
      </c>
      <c r="L69" s="7">
        <v>15.8</v>
      </c>
      <c r="M69" s="7">
        <f t="shared" si="1"/>
        <v>18.14</v>
      </c>
    </row>
    <row r="70" spans="1:17" ht="15" x14ac:dyDescent="0.2">
      <c r="B70" s="4" t="s">
        <v>5</v>
      </c>
      <c r="C70" s="7">
        <v>10.5</v>
      </c>
      <c r="D70" s="7">
        <v>13.2</v>
      </c>
      <c r="E70" s="7">
        <v>12.3</v>
      </c>
      <c r="F70" s="7">
        <v>11.2</v>
      </c>
      <c r="G70" s="7">
        <v>11.8</v>
      </c>
      <c r="H70" s="7">
        <v>17.5</v>
      </c>
      <c r="I70" s="7">
        <v>12.2</v>
      </c>
      <c r="J70" s="7">
        <v>13.6</v>
      </c>
      <c r="K70" s="7">
        <v>14.2</v>
      </c>
      <c r="L70" s="7">
        <v>15.6</v>
      </c>
      <c r="M70" s="7">
        <f t="shared" si="1"/>
        <v>13.209999999999999</v>
      </c>
    </row>
    <row r="71" spans="1:17" ht="15" x14ac:dyDescent="0.2">
      <c r="B71" s="4" t="s">
        <v>6</v>
      </c>
      <c r="C71" s="7">
        <v>9</v>
      </c>
      <c r="D71" s="7">
        <v>7</v>
      </c>
      <c r="E71" s="7">
        <v>8</v>
      </c>
      <c r="F71" s="7">
        <v>10</v>
      </c>
      <c r="G71" s="7">
        <v>9</v>
      </c>
      <c r="H71" s="7">
        <v>8</v>
      </c>
      <c r="I71" s="7">
        <v>9</v>
      </c>
      <c r="J71" s="7">
        <v>8</v>
      </c>
      <c r="K71" s="7">
        <v>7</v>
      </c>
      <c r="L71" s="7">
        <v>8</v>
      </c>
      <c r="M71" s="7">
        <f t="shared" si="1"/>
        <v>8.3000000000000007</v>
      </c>
    </row>
    <row r="72" spans="1:17" ht="15" x14ac:dyDescent="0.2">
      <c r="B72" s="9" t="s">
        <v>8</v>
      </c>
      <c r="C72" s="7">
        <v>25.9</v>
      </c>
      <c r="D72" s="7">
        <v>25.1</v>
      </c>
      <c r="E72" s="7">
        <v>23.3</v>
      </c>
      <c r="F72" s="7">
        <v>25</v>
      </c>
      <c r="G72" s="7">
        <v>24.6</v>
      </c>
      <c r="H72" s="7">
        <v>22.7</v>
      </c>
      <c r="I72" s="7">
        <v>25.6</v>
      </c>
      <c r="J72" s="7">
        <v>29</v>
      </c>
      <c r="K72" s="7">
        <v>26.6</v>
      </c>
      <c r="L72" s="7">
        <v>28.5</v>
      </c>
      <c r="M72" s="7">
        <f t="shared" si="1"/>
        <v>25.629999999999995</v>
      </c>
    </row>
    <row r="73" spans="1:17" x14ac:dyDescent="0.2">
      <c r="B73" s="1" t="s">
        <v>1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14" t="s">
        <v>45</v>
      </c>
    </row>
    <row r="74" spans="1:17" ht="15" x14ac:dyDescent="0.25">
      <c r="A74" s="11" t="s">
        <v>19</v>
      </c>
      <c r="B74" s="4" t="s">
        <v>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7"/>
      <c r="O74">
        <v>44</v>
      </c>
      <c r="P74">
        <v>1480</v>
      </c>
      <c r="Q74">
        <v>33.636000000000003</v>
      </c>
    </row>
    <row r="75" spans="1:17" ht="15" x14ac:dyDescent="0.2">
      <c r="B75" s="6" t="s">
        <v>2</v>
      </c>
      <c r="C75" s="7">
        <v>22.3</v>
      </c>
      <c r="D75" s="7">
        <v>18.899999999999999</v>
      </c>
      <c r="E75" s="7">
        <v>17.399999999999999</v>
      </c>
      <c r="F75" s="7">
        <v>18.2</v>
      </c>
      <c r="G75" s="7">
        <v>19.3</v>
      </c>
      <c r="H75" s="7">
        <v>17.3</v>
      </c>
      <c r="I75" s="7">
        <v>20.100000000000001</v>
      </c>
      <c r="J75" s="7">
        <v>19.399999999999999</v>
      </c>
      <c r="K75" s="7">
        <v>18</v>
      </c>
      <c r="L75" s="10">
        <v>18.2</v>
      </c>
      <c r="M75" s="7">
        <f t="shared" si="1"/>
        <v>18.91</v>
      </c>
    </row>
    <row r="76" spans="1:17" x14ac:dyDescent="0.2">
      <c r="B76" s="8" t="s">
        <v>3</v>
      </c>
      <c r="C76" s="7">
        <v>19.600000000000001</v>
      </c>
      <c r="D76" s="7">
        <v>15.1</v>
      </c>
      <c r="E76" s="7">
        <v>14.3</v>
      </c>
      <c r="F76" s="7">
        <v>15.1</v>
      </c>
      <c r="G76" s="7">
        <v>18.5</v>
      </c>
      <c r="H76" s="7">
        <v>15.5</v>
      </c>
      <c r="I76" s="7">
        <v>15.9</v>
      </c>
      <c r="J76" s="7">
        <v>14.7</v>
      </c>
      <c r="K76" s="7">
        <v>16.3</v>
      </c>
      <c r="L76" s="7">
        <v>15.5</v>
      </c>
      <c r="M76" s="7">
        <f t="shared" si="1"/>
        <v>16.05</v>
      </c>
    </row>
    <row r="77" spans="1:17" x14ac:dyDescent="0.2">
      <c r="B77" s="8" t="s">
        <v>4</v>
      </c>
      <c r="C77" s="7">
        <v>15.8</v>
      </c>
      <c r="D77" s="7">
        <v>16.899999999999999</v>
      </c>
      <c r="E77" s="7">
        <v>17.399999999999999</v>
      </c>
      <c r="F77" s="7">
        <v>17</v>
      </c>
      <c r="G77" s="7">
        <v>15.5</v>
      </c>
      <c r="H77" s="7">
        <v>17.5</v>
      </c>
      <c r="I77" s="7">
        <v>18.2</v>
      </c>
      <c r="J77" s="7">
        <v>17.5</v>
      </c>
      <c r="K77" s="7">
        <v>17.5</v>
      </c>
      <c r="L77" s="7">
        <v>17.600000000000001</v>
      </c>
      <c r="M77" s="7">
        <f t="shared" si="1"/>
        <v>17.09</v>
      </c>
    </row>
    <row r="78" spans="1:17" ht="15" x14ac:dyDescent="0.2">
      <c r="B78" s="4" t="s">
        <v>5</v>
      </c>
      <c r="C78" s="7">
        <v>10.6</v>
      </c>
      <c r="D78" s="7">
        <v>11.4</v>
      </c>
      <c r="E78" s="7">
        <v>10.9</v>
      </c>
      <c r="F78" s="7">
        <v>11.4</v>
      </c>
      <c r="G78" s="7">
        <v>10.5</v>
      </c>
      <c r="H78" s="7">
        <v>13.8</v>
      </c>
      <c r="I78" s="7">
        <v>12.8</v>
      </c>
      <c r="J78" s="7">
        <v>10.6</v>
      </c>
      <c r="K78" s="7">
        <v>12.6</v>
      </c>
      <c r="L78" s="7">
        <v>13.2</v>
      </c>
      <c r="M78" s="7">
        <f t="shared" si="1"/>
        <v>11.779999999999998</v>
      </c>
    </row>
    <row r="79" spans="1:17" ht="15" x14ac:dyDescent="0.2">
      <c r="B79" s="4" t="s">
        <v>6</v>
      </c>
      <c r="C79" s="7">
        <v>8</v>
      </c>
      <c r="D79" s="7">
        <v>9</v>
      </c>
      <c r="E79" s="7">
        <v>7</v>
      </c>
      <c r="F79" s="7">
        <v>8</v>
      </c>
      <c r="G79" s="7">
        <v>8</v>
      </c>
      <c r="H79" s="7">
        <v>7</v>
      </c>
      <c r="I79" s="7">
        <v>8</v>
      </c>
      <c r="J79" s="7">
        <v>9</v>
      </c>
      <c r="K79" s="7">
        <v>7</v>
      </c>
      <c r="L79" s="7">
        <v>8</v>
      </c>
      <c r="M79" s="7">
        <f t="shared" si="1"/>
        <v>7.9</v>
      </c>
    </row>
    <row r="80" spans="1:17" ht="15" x14ac:dyDescent="0.2">
      <c r="B80" s="9" t="s">
        <v>8</v>
      </c>
      <c r="C80" s="7">
        <v>23.5</v>
      </c>
      <c r="D80" s="7">
        <v>28.7</v>
      </c>
      <c r="E80" s="7">
        <v>29</v>
      </c>
      <c r="F80" s="7">
        <v>26.7</v>
      </c>
      <c r="G80" s="7">
        <v>27.3</v>
      </c>
      <c r="H80" s="7">
        <v>27.3</v>
      </c>
      <c r="I80" s="7">
        <v>30.7</v>
      </c>
      <c r="J80" s="7">
        <v>27.5</v>
      </c>
      <c r="K80" s="7">
        <v>24.5</v>
      </c>
      <c r="L80" s="7">
        <v>28.8</v>
      </c>
      <c r="M80" s="7">
        <f t="shared" si="1"/>
        <v>27.4</v>
      </c>
    </row>
    <row r="81" spans="1:17" x14ac:dyDescent="0.2">
      <c r="B81" s="1" t="s">
        <v>1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14" t="s">
        <v>45</v>
      </c>
    </row>
    <row r="82" spans="1:17" ht="15" x14ac:dyDescent="0.25">
      <c r="A82" s="11" t="s">
        <v>20</v>
      </c>
      <c r="B82" s="4" t="s">
        <v>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7"/>
      <c r="O82">
        <v>60</v>
      </c>
      <c r="P82">
        <v>1095</v>
      </c>
      <c r="Q82">
        <v>18.25</v>
      </c>
    </row>
    <row r="83" spans="1:17" ht="15" x14ac:dyDescent="0.2">
      <c r="B83" s="6" t="s">
        <v>2</v>
      </c>
      <c r="C83" s="7">
        <v>20.5</v>
      </c>
      <c r="D83" s="7">
        <v>19.399999999999999</v>
      </c>
      <c r="E83" s="7">
        <v>22.5</v>
      </c>
      <c r="F83" s="7">
        <v>18.3</v>
      </c>
      <c r="G83" s="7">
        <v>22</v>
      </c>
      <c r="H83" s="7">
        <v>20.5</v>
      </c>
      <c r="I83" s="7">
        <v>20.399999999999999</v>
      </c>
      <c r="J83" s="7">
        <v>22</v>
      </c>
      <c r="K83" s="7">
        <v>20.399999999999999</v>
      </c>
      <c r="L83" s="7">
        <v>18.899999999999999</v>
      </c>
      <c r="M83" s="7">
        <f t="shared" si="1"/>
        <v>20.490000000000002</v>
      </c>
    </row>
    <row r="84" spans="1:17" x14ac:dyDescent="0.2">
      <c r="B84" s="8" t="s">
        <v>3</v>
      </c>
      <c r="C84" s="7">
        <v>14.8</v>
      </c>
      <c r="D84" s="7">
        <v>14.7</v>
      </c>
      <c r="E84" s="7">
        <v>16.100000000000001</v>
      </c>
      <c r="F84" s="7">
        <v>14.1</v>
      </c>
      <c r="G84" s="7">
        <v>14.8</v>
      </c>
      <c r="H84" s="7">
        <v>17.3</v>
      </c>
      <c r="I84" s="7">
        <v>15.7</v>
      </c>
      <c r="J84" s="7">
        <v>17.100000000000001</v>
      </c>
      <c r="K84" s="7">
        <v>12.7</v>
      </c>
      <c r="L84" s="7">
        <v>13.6</v>
      </c>
      <c r="M84" s="7">
        <f t="shared" si="1"/>
        <v>15.089999999999998</v>
      </c>
    </row>
    <row r="85" spans="1:17" x14ac:dyDescent="0.2">
      <c r="B85" s="8" t="s">
        <v>4</v>
      </c>
      <c r="C85" s="7">
        <v>17.3</v>
      </c>
      <c r="D85" s="7">
        <v>18.399999999999999</v>
      </c>
      <c r="E85" s="7">
        <v>17</v>
      </c>
      <c r="F85" s="7">
        <v>17.100000000000001</v>
      </c>
      <c r="G85" s="7">
        <v>16.5</v>
      </c>
      <c r="H85" s="7">
        <v>17.899999999999999</v>
      </c>
      <c r="I85" s="7">
        <v>18.8</v>
      </c>
      <c r="J85" s="7">
        <v>16.8</v>
      </c>
      <c r="K85" s="7">
        <v>14.5</v>
      </c>
      <c r="L85" s="7">
        <v>17.5</v>
      </c>
      <c r="M85" s="7">
        <f t="shared" si="1"/>
        <v>17.18</v>
      </c>
    </row>
    <row r="86" spans="1:17" ht="15" x14ac:dyDescent="0.2">
      <c r="B86" s="4" t="s">
        <v>5</v>
      </c>
      <c r="C86" s="7">
        <v>10.5</v>
      </c>
      <c r="D86" s="7">
        <v>12.3</v>
      </c>
      <c r="E86" s="7">
        <v>10.199999999999999</v>
      </c>
      <c r="F86" s="7">
        <v>10.6</v>
      </c>
      <c r="G86" s="7">
        <v>9.6</v>
      </c>
      <c r="H86" s="7">
        <v>11.8</v>
      </c>
      <c r="I86" s="7">
        <v>11.5</v>
      </c>
      <c r="J86" s="7">
        <v>10.5</v>
      </c>
      <c r="K86" s="7">
        <v>11.2</v>
      </c>
      <c r="L86" s="7">
        <v>12.6</v>
      </c>
      <c r="M86" s="7">
        <f t="shared" si="1"/>
        <v>11.08</v>
      </c>
    </row>
    <row r="87" spans="1:17" ht="15" x14ac:dyDescent="0.2">
      <c r="B87" s="4" t="s">
        <v>6</v>
      </c>
      <c r="C87" s="7">
        <v>8</v>
      </c>
      <c r="D87" s="7">
        <v>7</v>
      </c>
      <c r="E87" s="7">
        <v>8</v>
      </c>
      <c r="F87" s="7">
        <v>9</v>
      </c>
      <c r="G87" s="7">
        <v>9</v>
      </c>
      <c r="H87" s="7">
        <v>8</v>
      </c>
      <c r="I87" s="7">
        <v>7</v>
      </c>
      <c r="J87" s="7">
        <v>8</v>
      </c>
      <c r="K87" s="7">
        <v>8</v>
      </c>
      <c r="L87" s="7">
        <v>8</v>
      </c>
      <c r="M87" s="7">
        <f t="shared" si="1"/>
        <v>8</v>
      </c>
    </row>
    <row r="88" spans="1:17" ht="15" x14ac:dyDescent="0.2">
      <c r="B88" s="9" t="s">
        <v>8</v>
      </c>
      <c r="C88" s="7">
        <v>22.1</v>
      </c>
      <c r="D88" s="7">
        <v>21.3</v>
      </c>
      <c r="E88" s="7">
        <v>19.899999999999999</v>
      </c>
      <c r="F88" s="7">
        <v>24.4</v>
      </c>
      <c r="G88" s="7">
        <v>30.9</v>
      </c>
      <c r="H88" s="7">
        <v>23.2</v>
      </c>
      <c r="I88" s="7">
        <v>26.1</v>
      </c>
      <c r="J88" s="7">
        <v>21.8</v>
      </c>
      <c r="K88" s="7">
        <v>21.7</v>
      </c>
      <c r="L88" s="7">
        <v>26.1</v>
      </c>
      <c r="M88" s="7">
        <f t="shared" si="1"/>
        <v>23.749999999999996</v>
      </c>
    </row>
    <row r="89" spans="1:17" x14ac:dyDescent="0.2">
      <c r="B89" s="1" t="s">
        <v>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14" t="s">
        <v>45</v>
      </c>
    </row>
    <row r="90" spans="1:17" ht="15" x14ac:dyDescent="0.25">
      <c r="A90" s="11" t="s">
        <v>21</v>
      </c>
      <c r="B90" s="4" t="s">
        <v>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7"/>
      <c r="O90">
        <v>48</v>
      </c>
      <c r="P90">
        <v>1705</v>
      </c>
      <c r="Q90">
        <v>35.520000000000003</v>
      </c>
    </row>
    <row r="91" spans="1:17" ht="15" x14ac:dyDescent="0.2">
      <c r="A91" s="12" t="s">
        <v>32</v>
      </c>
      <c r="B91" s="6" t="s">
        <v>2</v>
      </c>
      <c r="C91" s="7">
        <v>18.399999999999999</v>
      </c>
      <c r="D91" s="7">
        <v>18.5</v>
      </c>
      <c r="E91" s="7">
        <v>17.7</v>
      </c>
      <c r="F91" s="7">
        <v>20.5</v>
      </c>
      <c r="G91" s="7">
        <v>18.3</v>
      </c>
      <c r="H91" s="7">
        <v>17.3</v>
      </c>
      <c r="I91" s="7">
        <v>18.2</v>
      </c>
      <c r="J91" s="7">
        <v>21.2</v>
      </c>
      <c r="K91" s="7">
        <v>20.100000000000001</v>
      </c>
      <c r="L91" s="7">
        <v>17.399999999999999</v>
      </c>
      <c r="M91" s="7">
        <f t="shared" si="1"/>
        <v>18.759999999999998</v>
      </c>
    </row>
    <row r="92" spans="1:17" x14ac:dyDescent="0.2">
      <c r="B92" s="8" t="s">
        <v>3</v>
      </c>
      <c r="C92" s="7">
        <v>19.5</v>
      </c>
      <c r="D92" s="7">
        <v>15.4</v>
      </c>
      <c r="E92" s="7">
        <v>16.600000000000001</v>
      </c>
      <c r="F92" s="7">
        <v>19.600000000000001</v>
      </c>
      <c r="G92" s="7">
        <v>13.7</v>
      </c>
      <c r="H92" s="7">
        <v>12.6</v>
      </c>
      <c r="I92" s="7">
        <v>14</v>
      </c>
      <c r="J92" s="7">
        <v>16.8</v>
      </c>
      <c r="K92" s="7">
        <v>11.6</v>
      </c>
      <c r="L92" s="7">
        <v>16.3</v>
      </c>
      <c r="M92" s="7">
        <f t="shared" si="1"/>
        <v>15.61</v>
      </c>
    </row>
    <row r="93" spans="1:17" x14ac:dyDescent="0.2">
      <c r="B93" s="8" t="s">
        <v>4</v>
      </c>
      <c r="C93" s="7">
        <v>14.5</v>
      </c>
      <c r="D93" s="7">
        <v>14.8</v>
      </c>
      <c r="E93" s="7">
        <v>14.7</v>
      </c>
      <c r="F93" s="7">
        <v>15.9</v>
      </c>
      <c r="G93" s="7">
        <v>15.4</v>
      </c>
      <c r="H93" s="7">
        <v>14.3</v>
      </c>
      <c r="I93" s="7">
        <v>18.2</v>
      </c>
      <c r="J93" s="7">
        <v>14.7</v>
      </c>
      <c r="K93" s="7">
        <v>16.2</v>
      </c>
      <c r="L93" s="7">
        <v>16.5</v>
      </c>
      <c r="M93" s="7">
        <f t="shared" si="1"/>
        <v>15.52</v>
      </c>
    </row>
    <row r="94" spans="1:17" ht="15" x14ac:dyDescent="0.2">
      <c r="B94" s="4" t="s">
        <v>5</v>
      </c>
      <c r="C94" s="7">
        <v>9.8000000000000007</v>
      </c>
      <c r="D94" s="7">
        <v>11</v>
      </c>
      <c r="E94" s="7">
        <v>9.3000000000000007</v>
      </c>
      <c r="F94" s="7">
        <v>10.5</v>
      </c>
      <c r="G94" s="7">
        <v>10.5</v>
      </c>
      <c r="H94" s="7">
        <v>10.7</v>
      </c>
      <c r="I94" s="7">
        <v>10.6</v>
      </c>
      <c r="J94" s="7">
        <v>9.9</v>
      </c>
      <c r="K94" s="7">
        <v>10.8</v>
      </c>
      <c r="L94" s="7">
        <v>9.3000000000000007</v>
      </c>
      <c r="M94" s="7">
        <f t="shared" si="1"/>
        <v>10.239999999999998</v>
      </c>
    </row>
    <row r="95" spans="1:17" ht="15" x14ac:dyDescent="0.2">
      <c r="B95" s="4" t="s">
        <v>6</v>
      </c>
      <c r="C95" s="7">
        <v>9</v>
      </c>
      <c r="D95" s="7">
        <v>8</v>
      </c>
      <c r="E95" s="7">
        <v>8</v>
      </c>
      <c r="F95" s="7">
        <v>9</v>
      </c>
      <c r="G95" s="7">
        <v>9</v>
      </c>
      <c r="H95" s="7">
        <v>8</v>
      </c>
      <c r="I95" s="7">
        <v>8</v>
      </c>
      <c r="J95" s="7">
        <v>9</v>
      </c>
      <c r="K95" s="7">
        <v>8</v>
      </c>
      <c r="L95" s="7">
        <v>7</v>
      </c>
      <c r="M95" s="7">
        <f t="shared" si="1"/>
        <v>8.3000000000000007</v>
      </c>
    </row>
    <row r="96" spans="1:17" ht="15" x14ac:dyDescent="0.2">
      <c r="B96" s="9" t="s">
        <v>8</v>
      </c>
      <c r="C96" s="7">
        <v>24.6</v>
      </c>
      <c r="D96" s="7">
        <v>24.1</v>
      </c>
      <c r="E96" s="7">
        <v>29.1</v>
      </c>
      <c r="F96" s="7">
        <v>28.7</v>
      </c>
      <c r="G96" s="7">
        <v>34.1</v>
      </c>
      <c r="H96" s="7">
        <v>26.7</v>
      </c>
      <c r="I96" s="7">
        <v>31.5</v>
      </c>
      <c r="J96" s="7">
        <v>29.1</v>
      </c>
      <c r="K96" s="7">
        <v>30.5</v>
      </c>
      <c r="L96" s="7">
        <v>28.8</v>
      </c>
      <c r="M96" s="7">
        <f t="shared" si="1"/>
        <v>28.72</v>
      </c>
    </row>
    <row r="97" spans="1:17" x14ac:dyDescent="0.2">
      <c r="B97" s="1" t="s">
        <v>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14" t="s">
        <v>45</v>
      </c>
    </row>
    <row r="98" spans="1:17" ht="15" x14ac:dyDescent="0.25">
      <c r="A98" s="11" t="s">
        <v>22</v>
      </c>
      <c r="B98" s="4" t="s">
        <v>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7"/>
      <c r="O98">
        <v>29</v>
      </c>
      <c r="P98">
        <v>1300</v>
      </c>
      <c r="Q98">
        <v>44.826999999999998</v>
      </c>
    </row>
    <row r="99" spans="1:17" ht="15" x14ac:dyDescent="0.2">
      <c r="A99" s="12" t="s">
        <v>29</v>
      </c>
      <c r="B99" s="6" t="s">
        <v>2</v>
      </c>
      <c r="C99" s="7">
        <v>20.2</v>
      </c>
      <c r="D99" s="7">
        <v>21.3</v>
      </c>
      <c r="E99" s="7">
        <v>21.3</v>
      </c>
      <c r="F99" s="7">
        <v>17.899999999999999</v>
      </c>
      <c r="G99" s="7">
        <v>19.600000000000001</v>
      </c>
      <c r="H99" s="7">
        <v>19.8</v>
      </c>
      <c r="I99" s="7">
        <v>15.6</v>
      </c>
      <c r="J99" s="7">
        <v>19.2</v>
      </c>
      <c r="K99" s="7">
        <v>16.3</v>
      </c>
      <c r="L99" s="7">
        <v>17.600000000000001</v>
      </c>
      <c r="M99" s="7">
        <f t="shared" si="1"/>
        <v>18.88</v>
      </c>
    </row>
    <row r="100" spans="1:17" x14ac:dyDescent="0.2">
      <c r="B100" s="8" t="s">
        <v>3</v>
      </c>
      <c r="C100" s="7">
        <v>25.7</v>
      </c>
      <c r="D100" s="7">
        <v>17</v>
      </c>
      <c r="E100" s="7">
        <v>23.8</v>
      </c>
      <c r="F100" s="7">
        <v>24.1</v>
      </c>
      <c r="G100" s="7">
        <v>23.5</v>
      </c>
      <c r="H100" s="7">
        <v>20.399999999999999</v>
      </c>
      <c r="I100" s="7">
        <v>14.7</v>
      </c>
      <c r="J100" s="7">
        <v>15.3</v>
      </c>
      <c r="K100" s="7">
        <v>20.399999999999999</v>
      </c>
      <c r="L100" s="7">
        <v>18.2</v>
      </c>
      <c r="M100" s="7">
        <f t="shared" si="1"/>
        <v>20.309999999999999</v>
      </c>
    </row>
    <row r="101" spans="1:17" x14ac:dyDescent="0.2">
      <c r="B101" s="8" t="s">
        <v>4</v>
      </c>
      <c r="C101" s="7">
        <v>18.2</v>
      </c>
      <c r="D101" s="7">
        <v>17.399999999999999</v>
      </c>
      <c r="E101" s="7">
        <v>17.3</v>
      </c>
      <c r="F101" s="7">
        <v>16.5</v>
      </c>
      <c r="G101" s="7">
        <v>15.6</v>
      </c>
      <c r="H101" s="7">
        <v>18</v>
      </c>
      <c r="I101" s="7">
        <v>19.5</v>
      </c>
      <c r="J101" s="7">
        <v>17.899999999999999</v>
      </c>
      <c r="K101" s="7">
        <v>18.8</v>
      </c>
      <c r="L101" s="7">
        <v>17.399999999999999</v>
      </c>
      <c r="M101" s="7">
        <f t="shared" si="1"/>
        <v>17.66</v>
      </c>
    </row>
    <row r="102" spans="1:17" ht="15" x14ac:dyDescent="0.2">
      <c r="B102" s="4" t="s">
        <v>5</v>
      </c>
      <c r="C102" s="7">
        <v>12.9</v>
      </c>
      <c r="D102" s="7">
        <v>11.2</v>
      </c>
      <c r="E102" s="7">
        <v>11.6</v>
      </c>
      <c r="F102" s="7">
        <v>10.4</v>
      </c>
      <c r="G102" s="7">
        <v>11.4</v>
      </c>
      <c r="H102" s="7">
        <v>13.6</v>
      </c>
      <c r="I102" s="7">
        <v>13.9</v>
      </c>
      <c r="J102" s="7">
        <v>11.8</v>
      </c>
      <c r="K102" s="7">
        <v>13</v>
      </c>
      <c r="L102" s="7">
        <v>10.6</v>
      </c>
      <c r="M102" s="7">
        <f t="shared" si="1"/>
        <v>12.04</v>
      </c>
    </row>
    <row r="103" spans="1:17" ht="15" x14ac:dyDescent="0.2">
      <c r="B103" s="4" t="s">
        <v>6</v>
      </c>
      <c r="C103" s="7">
        <v>9</v>
      </c>
      <c r="D103" s="7">
        <v>10</v>
      </c>
      <c r="E103" s="7">
        <v>10</v>
      </c>
      <c r="F103" s="7">
        <v>9</v>
      </c>
      <c r="G103" s="7">
        <v>9</v>
      </c>
      <c r="H103" s="7">
        <v>9</v>
      </c>
      <c r="I103" s="7">
        <v>10</v>
      </c>
      <c r="J103" s="7">
        <v>9</v>
      </c>
      <c r="K103" s="7">
        <v>9</v>
      </c>
      <c r="L103" s="7">
        <v>9</v>
      </c>
      <c r="M103" s="7">
        <f t="shared" si="1"/>
        <v>9.3000000000000007</v>
      </c>
    </row>
    <row r="104" spans="1:17" ht="15" x14ac:dyDescent="0.2">
      <c r="B104" s="9" t="s">
        <v>8</v>
      </c>
      <c r="C104" s="7">
        <v>32.4</v>
      </c>
      <c r="D104" s="7">
        <v>31.1</v>
      </c>
      <c r="E104" s="7">
        <v>34.299999999999997</v>
      </c>
      <c r="F104" s="7">
        <v>28.8</v>
      </c>
      <c r="G104" s="7">
        <v>25.9</v>
      </c>
      <c r="H104" s="7">
        <v>32.200000000000003</v>
      </c>
      <c r="I104" s="7">
        <v>28.8</v>
      </c>
      <c r="J104" s="7">
        <v>27.8</v>
      </c>
      <c r="K104" s="7">
        <v>28.2</v>
      </c>
      <c r="L104" s="7">
        <v>27.1</v>
      </c>
      <c r="M104" s="7">
        <f t="shared" si="1"/>
        <v>29.660000000000004</v>
      </c>
    </row>
    <row r="105" spans="1:17" x14ac:dyDescent="0.2">
      <c r="B105" s="1" t="s">
        <v>1</v>
      </c>
      <c r="C105" s="2">
        <v>1</v>
      </c>
      <c r="D105" s="2">
        <v>2</v>
      </c>
      <c r="E105" s="2">
        <v>3</v>
      </c>
      <c r="F105" s="2">
        <v>4</v>
      </c>
      <c r="G105" s="2">
        <v>5</v>
      </c>
      <c r="H105" s="2">
        <v>6</v>
      </c>
      <c r="I105" s="2">
        <v>7</v>
      </c>
      <c r="J105" s="2">
        <v>8</v>
      </c>
      <c r="K105" s="2">
        <v>9</v>
      </c>
      <c r="L105" s="2">
        <v>10</v>
      </c>
      <c r="M105" s="14" t="s">
        <v>45</v>
      </c>
    </row>
    <row r="106" spans="1:17" ht="15" x14ac:dyDescent="0.25">
      <c r="A106" s="11" t="s">
        <v>23</v>
      </c>
      <c r="B106" s="4" t="s">
        <v>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7"/>
      <c r="O106">
        <v>42</v>
      </c>
      <c r="P106">
        <v>1040</v>
      </c>
      <c r="Q106">
        <v>24.760999999999999</v>
      </c>
    </row>
    <row r="107" spans="1:17" ht="15" x14ac:dyDescent="0.2">
      <c r="A107" s="12" t="s">
        <v>29</v>
      </c>
      <c r="B107" s="6" t="s">
        <v>2</v>
      </c>
      <c r="C107" s="7">
        <v>10.199999999999999</v>
      </c>
      <c r="D107" s="7">
        <v>15</v>
      </c>
      <c r="E107" s="7">
        <v>11.2</v>
      </c>
      <c r="F107" s="7">
        <v>9.8000000000000007</v>
      </c>
      <c r="G107" s="7">
        <v>14.2</v>
      </c>
      <c r="H107" s="7">
        <v>11.5</v>
      </c>
      <c r="I107" s="7">
        <v>13.7</v>
      </c>
      <c r="J107" s="7">
        <v>15.1</v>
      </c>
      <c r="K107" s="7">
        <v>10.3</v>
      </c>
      <c r="L107" s="7">
        <v>14.6</v>
      </c>
      <c r="M107" s="7">
        <f t="shared" si="1"/>
        <v>12.559999999999999</v>
      </c>
    </row>
    <row r="108" spans="1:17" x14ac:dyDescent="0.2">
      <c r="B108" s="8" t="s">
        <v>3</v>
      </c>
      <c r="C108" s="7">
        <v>14.3</v>
      </c>
      <c r="D108" s="7">
        <v>13.4</v>
      </c>
      <c r="E108" s="7">
        <v>11.3</v>
      </c>
      <c r="F108" s="7">
        <v>12.1</v>
      </c>
      <c r="G108" s="7">
        <v>11.7</v>
      </c>
      <c r="H108" s="7">
        <v>12.3</v>
      </c>
      <c r="I108" s="7">
        <v>14.2</v>
      </c>
      <c r="J108" s="7">
        <v>10.6</v>
      </c>
      <c r="K108" s="7">
        <v>13.2</v>
      </c>
      <c r="L108" s="7">
        <v>12</v>
      </c>
      <c r="M108" s="7">
        <f t="shared" si="1"/>
        <v>12.51</v>
      </c>
    </row>
    <row r="109" spans="1:17" x14ac:dyDescent="0.2">
      <c r="B109" s="8" t="s">
        <v>4</v>
      </c>
      <c r="C109" s="7">
        <v>9.6</v>
      </c>
      <c r="D109" s="7">
        <v>11.1</v>
      </c>
      <c r="E109" s="7">
        <v>11</v>
      </c>
      <c r="F109" s="7">
        <v>11.8</v>
      </c>
      <c r="G109" s="7">
        <v>12.4</v>
      </c>
      <c r="H109" s="7">
        <v>12.4</v>
      </c>
      <c r="I109" s="7">
        <v>11.4</v>
      </c>
      <c r="J109" s="7">
        <v>11.6</v>
      </c>
      <c r="K109" s="7">
        <v>10.6</v>
      </c>
      <c r="L109" s="7">
        <v>12</v>
      </c>
      <c r="M109" s="7">
        <f t="shared" si="1"/>
        <v>11.389999999999999</v>
      </c>
    </row>
    <row r="110" spans="1:17" ht="15" x14ac:dyDescent="0.2">
      <c r="B110" s="4" t="s">
        <v>5</v>
      </c>
      <c r="C110" s="7">
        <v>7.5</v>
      </c>
      <c r="D110" s="7">
        <v>8</v>
      </c>
      <c r="E110" s="7">
        <v>10.3</v>
      </c>
      <c r="F110" s="7">
        <v>10.8</v>
      </c>
      <c r="G110" s="7">
        <v>7.9</v>
      </c>
      <c r="H110" s="7">
        <v>8.8000000000000007</v>
      </c>
      <c r="I110" s="7">
        <v>7.8</v>
      </c>
      <c r="J110" s="7">
        <v>8.1</v>
      </c>
      <c r="K110" s="7">
        <v>8.9</v>
      </c>
      <c r="L110" s="7">
        <v>8.1</v>
      </c>
      <c r="M110" s="7">
        <f t="shared" si="1"/>
        <v>8.6199999999999992</v>
      </c>
    </row>
    <row r="111" spans="1:17" ht="15" x14ac:dyDescent="0.2">
      <c r="B111" s="4" t="s">
        <v>6</v>
      </c>
      <c r="C111" s="7">
        <v>8</v>
      </c>
      <c r="D111" s="7">
        <v>9</v>
      </c>
      <c r="E111" s="7">
        <v>9</v>
      </c>
      <c r="F111" s="7">
        <v>7</v>
      </c>
      <c r="G111" s="7">
        <v>8</v>
      </c>
      <c r="H111" s="7">
        <v>8</v>
      </c>
      <c r="I111" s="7">
        <v>7</v>
      </c>
      <c r="J111" s="7">
        <v>8</v>
      </c>
      <c r="K111" s="7">
        <v>8</v>
      </c>
      <c r="L111" s="7">
        <v>9</v>
      </c>
      <c r="M111" s="7">
        <f t="shared" si="1"/>
        <v>8.1</v>
      </c>
    </row>
    <row r="112" spans="1:17" ht="15" x14ac:dyDescent="0.2">
      <c r="B112" s="9" t="s">
        <v>8</v>
      </c>
      <c r="C112" s="7">
        <v>37.200000000000003</v>
      </c>
      <c r="D112" s="7">
        <v>43.5</v>
      </c>
      <c r="E112" s="7">
        <v>40.4</v>
      </c>
      <c r="F112" s="7">
        <v>45.1</v>
      </c>
      <c r="G112" s="7">
        <v>43.6</v>
      </c>
      <c r="H112" s="7">
        <v>42.8</v>
      </c>
      <c r="I112" s="7">
        <v>38.1</v>
      </c>
      <c r="J112" s="7">
        <v>47.7</v>
      </c>
      <c r="K112" s="7">
        <v>48.1</v>
      </c>
      <c r="L112" s="7">
        <v>42.7</v>
      </c>
      <c r="M112" s="7">
        <f t="shared" si="1"/>
        <v>42.92</v>
      </c>
    </row>
    <row r="113" spans="1:17" x14ac:dyDescent="0.2">
      <c r="B113" s="1" t="s">
        <v>1</v>
      </c>
      <c r="C113" s="2">
        <v>1</v>
      </c>
      <c r="D113" s="2">
        <v>2</v>
      </c>
      <c r="E113" s="2">
        <v>3</v>
      </c>
      <c r="F113" s="2">
        <v>4</v>
      </c>
      <c r="G113" s="2">
        <v>5</v>
      </c>
      <c r="H113" s="2">
        <v>6</v>
      </c>
      <c r="I113" s="2">
        <v>7</v>
      </c>
      <c r="J113" s="2">
        <v>8</v>
      </c>
      <c r="K113" s="2">
        <v>9</v>
      </c>
      <c r="L113" s="2">
        <v>10</v>
      </c>
      <c r="M113" s="14" t="s">
        <v>45</v>
      </c>
    </row>
    <row r="114" spans="1:17" ht="15" x14ac:dyDescent="0.25">
      <c r="A114" s="11" t="s">
        <v>24</v>
      </c>
      <c r="B114" s="4" t="s">
        <v>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7"/>
      <c r="O114">
        <v>113</v>
      </c>
      <c r="P114">
        <v>1600</v>
      </c>
      <c r="Q114">
        <v>14.159000000000001</v>
      </c>
    </row>
    <row r="115" spans="1:17" ht="15" x14ac:dyDescent="0.2">
      <c r="A115" s="12" t="s">
        <v>33</v>
      </c>
      <c r="B115" s="6" t="s">
        <v>2</v>
      </c>
      <c r="C115" s="7">
        <v>13.4</v>
      </c>
      <c r="D115" s="7">
        <v>19.8</v>
      </c>
      <c r="E115" s="7">
        <v>15.3</v>
      </c>
      <c r="F115" s="7">
        <v>16.600000000000001</v>
      </c>
      <c r="G115" s="7">
        <v>15.2</v>
      </c>
      <c r="H115" s="7">
        <v>19.3</v>
      </c>
      <c r="I115" s="7">
        <v>15.3</v>
      </c>
      <c r="J115" s="7">
        <v>14.3</v>
      </c>
      <c r="K115" s="7">
        <v>16.2</v>
      </c>
      <c r="L115" s="7">
        <v>14.3</v>
      </c>
      <c r="M115" s="7">
        <f t="shared" si="1"/>
        <v>15.969999999999999</v>
      </c>
    </row>
    <row r="116" spans="1:17" x14ac:dyDescent="0.2">
      <c r="B116" s="8" t="s">
        <v>3</v>
      </c>
      <c r="C116" s="7">
        <v>10.5</v>
      </c>
      <c r="D116" s="7">
        <v>12.1</v>
      </c>
      <c r="E116" s="7">
        <v>11.2</v>
      </c>
      <c r="F116" s="7">
        <v>12.5</v>
      </c>
      <c r="G116" s="7">
        <v>12.6</v>
      </c>
      <c r="H116" s="7">
        <v>14.4</v>
      </c>
      <c r="I116" s="7">
        <v>12.7</v>
      </c>
      <c r="J116" s="7">
        <v>11.6</v>
      </c>
      <c r="K116" s="7">
        <v>12.7</v>
      </c>
      <c r="L116" s="7">
        <v>13.4</v>
      </c>
      <c r="M116" s="7">
        <f t="shared" si="1"/>
        <v>12.370000000000001</v>
      </c>
    </row>
    <row r="117" spans="1:17" x14ac:dyDescent="0.2">
      <c r="B117" s="8" t="s">
        <v>4</v>
      </c>
      <c r="C117" s="7">
        <v>9.6</v>
      </c>
      <c r="D117" s="7">
        <v>10.1</v>
      </c>
      <c r="E117" s="7">
        <v>9.4</v>
      </c>
      <c r="F117" s="7">
        <v>10.1</v>
      </c>
      <c r="G117" s="7">
        <v>9.8000000000000007</v>
      </c>
      <c r="H117" s="7">
        <v>9</v>
      </c>
      <c r="I117" s="7">
        <v>10.199999999999999</v>
      </c>
      <c r="J117" s="7">
        <v>9</v>
      </c>
      <c r="K117" s="7">
        <v>9.9</v>
      </c>
      <c r="L117" s="7">
        <v>9.8000000000000007</v>
      </c>
      <c r="M117" s="7">
        <f t="shared" si="1"/>
        <v>9.6900000000000013</v>
      </c>
    </row>
    <row r="118" spans="1:17" ht="15" x14ac:dyDescent="0.2">
      <c r="B118" s="4" t="s">
        <v>5</v>
      </c>
      <c r="C118" s="7">
        <v>6</v>
      </c>
      <c r="D118" s="7">
        <v>6.3</v>
      </c>
      <c r="E118" s="7">
        <v>5.7</v>
      </c>
      <c r="F118" s="7">
        <v>5.7</v>
      </c>
      <c r="G118" s="7">
        <v>6.4</v>
      </c>
      <c r="H118" s="7">
        <v>5.7</v>
      </c>
      <c r="I118" s="7">
        <v>6.5</v>
      </c>
      <c r="J118" s="7">
        <v>5.5</v>
      </c>
      <c r="K118" s="7">
        <v>6.4</v>
      </c>
      <c r="L118" s="7">
        <v>5.7</v>
      </c>
      <c r="M118" s="7">
        <f t="shared" si="1"/>
        <v>5.99</v>
      </c>
    </row>
    <row r="119" spans="1:17" ht="15" x14ac:dyDescent="0.2">
      <c r="B119" s="4" t="s">
        <v>6</v>
      </c>
      <c r="C119" s="7">
        <v>8</v>
      </c>
      <c r="D119" s="7">
        <v>7</v>
      </c>
      <c r="E119" s="7">
        <v>8</v>
      </c>
      <c r="F119" s="7">
        <v>8</v>
      </c>
      <c r="G119" s="7">
        <v>7</v>
      </c>
      <c r="H119" s="7">
        <v>8</v>
      </c>
      <c r="I119" s="7">
        <v>8</v>
      </c>
      <c r="J119" s="7">
        <v>7</v>
      </c>
      <c r="K119" s="7">
        <v>8</v>
      </c>
      <c r="L119" s="7">
        <v>8</v>
      </c>
      <c r="M119" s="7">
        <f t="shared" si="1"/>
        <v>7.7</v>
      </c>
    </row>
    <row r="120" spans="1:17" ht="15" x14ac:dyDescent="0.2">
      <c r="B120" s="9" t="s">
        <v>8</v>
      </c>
      <c r="C120" s="7">
        <v>52.6</v>
      </c>
      <c r="D120" s="7">
        <v>64.2</v>
      </c>
      <c r="E120" s="7">
        <v>64.599999999999994</v>
      </c>
      <c r="F120" s="7">
        <v>64.3</v>
      </c>
      <c r="G120" s="7">
        <v>52.5</v>
      </c>
      <c r="H120" s="7">
        <v>54.5</v>
      </c>
      <c r="I120" s="7">
        <v>60.1</v>
      </c>
      <c r="J120" s="7">
        <v>62.4</v>
      </c>
      <c r="K120" s="7">
        <v>53.1</v>
      </c>
      <c r="L120" s="7">
        <v>50.2</v>
      </c>
      <c r="M120" s="7">
        <f t="shared" si="1"/>
        <v>57.85</v>
      </c>
    </row>
    <row r="121" spans="1:17" x14ac:dyDescent="0.2">
      <c r="B121" s="1" t="s">
        <v>1</v>
      </c>
      <c r="C121" s="2">
        <v>1</v>
      </c>
      <c r="D121" s="2">
        <v>2</v>
      </c>
      <c r="E121" s="2">
        <v>3</v>
      </c>
      <c r="F121" s="2">
        <v>4</v>
      </c>
      <c r="G121" s="2">
        <v>5</v>
      </c>
      <c r="H121" s="2">
        <v>6</v>
      </c>
      <c r="I121" s="2">
        <v>7</v>
      </c>
      <c r="J121" s="2">
        <v>8</v>
      </c>
      <c r="K121" s="2">
        <v>9</v>
      </c>
      <c r="L121" s="2">
        <v>10</v>
      </c>
      <c r="M121" s="14" t="s">
        <v>45</v>
      </c>
    </row>
    <row r="122" spans="1:17" ht="15" x14ac:dyDescent="0.25">
      <c r="A122" s="11" t="s">
        <v>25</v>
      </c>
      <c r="B122" s="4" t="s">
        <v>0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7"/>
      <c r="O122">
        <v>96</v>
      </c>
      <c r="P122">
        <v>1900</v>
      </c>
      <c r="Q122">
        <v>19.791</v>
      </c>
    </row>
    <row r="123" spans="1:17" ht="15" x14ac:dyDescent="0.2">
      <c r="A123" s="12" t="s">
        <v>34</v>
      </c>
      <c r="B123" s="6" t="s">
        <v>2</v>
      </c>
      <c r="C123" s="7">
        <v>12.4</v>
      </c>
      <c r="D123" s="7">
        <v>8.6</v>
      </c>
      <c r="E123" s="7">
        <v>11.3</v>
      </c>
      <c r="F123" s="7">
        <v>13.7</v>
      </c>
      <c r="G123" s="7">
        <v>11.4</v>
      </c>
      <c r="H123" s="7">
        <v>15</v>
      </c>
      <c r="I123" s="7">
        <v>12.3</v>
      </c>
      <c r="J123" s="7">
        <v>12.5</v>
      </c>
      <c r="K123" s="7">
        <v>12.5</v>
      </c>
      <c r="L123" s="7">
        <v>12.4</v>
      </c>
      <c r="M123" s="7">
        <f t="shared" si="1"/>
        <v>12.21</v>
      </c>
    </row>
    <row r="124" spans="1:17" x14ac:dyDescent="0.2">
      <c r="A124" s="12" t="s">
        <v>35</v>
      </c>
      <c r="B124" s="8" t="s">
        <v>3</v>
      </c>
      <c r="C124" s="7">
        <v>9.5</v>
      </c>
      <c r="D124" s="7">
        <v>10.199999999999999</v>
      </c>
      <c r="E124" s="7">
        <v>11.4</v>
      </c>
      <c r="F124" s="7">
        <v>12.9</v>
      </c>
      <c r="G124" s="7">
        <v>13.5</v>
      </c>
      <c r="H124" s="7">
        <v>14.8</v>
      </c>
      <c r="I124" s="7">
        <v>11.6</v>
      </c>
      <c r="J124" s="7">
        <v>11.9</v>
      </c>
      <c r="K124" s="7">
        <v>10.7</v>
      </c>
      <c r="L124" s="7">
        <v>13.5</v>
      </c>
      <c r="M124" s="7">
        <f t="shared" si="1"/>
        <v>12</v>
      </c>
    </row>
    <row r="125" spans="1:17" x14ac:dyDescent="0.2">
      <c r="B125" s="8" t="s">
        <v>4</v>
      </c>
      <c r="C125" s="7">
        <v>9.6999999999999993</v>
      </c>
      <c r="D125" s="7">
        <v>9</v>
      </c>
      <c r="E125" s="7">
        <v>9.8000000000000007</v>
      </c>
      <c r="F125" s="7">
        <v>9.3000000000000007</v>
      </c>
      <c r="G125" s="7">
        <v>9.6999999999999993</v>
      </c>
      <c r="H125" s="7">
        <v>11.1</v>
      </c>
      <c r="I125" s="7">
        <v>11.7</v>
      </c>
      <c r="J125" s="7">
        <v>11</v>
      </c>
      <c r="K125" s="7">
        <v>10.199999999999999</v>
      </c>
      <c r="L125" s="7">
        <v>10.5</v>
      </c>
      <c r="M125" s="7">
        <f t="shared" si="1"/>
        <v>10.199999999999999</v>
      </c>
    </row>
    <row r="126" spans="1:17" ht="15" x14ac:dyDescent="0.2">
      <c r="B126" s="4" t="s">
        <v>5</v>
      </c>
      <c r="C126" s="7">
        <v>5.4</v>
      </c>
      <c r="D126" s="7">
        <v>5.6</v>
      </c>
      <c r="E126" s="7">
        <v>4.7</v>
      </c>
      <c r="F126" s="7">
        <v>5.3</v>
      </c>
      <c r="G126" s="7">
        <v>9.8000000000000007</v>
      </c>
      <c r="H126" s="7">
        <v>6</v>
      </c>
      <c r="I126" s="7">
        <v>6.2</v>
      </c>
      <c r="J126" s="7">
        <v>6</v>
      </c>
      <c r="K126" s="7">
        <v>5.6</v>
      </c>
      <c r="L126" s="7">
        <v>6.4</v>
      </c>
      <c r="M126" s="7">
        <f t="shared" si="1"/>
        <v>6.1</v>
      </c>
    </row>
    <row r="127" spans="1:17" ht="15" x14ac:dyDescent="0.2">
      <c r="B127" s="4" t="s">
        <v>6</v>
      </c>
      <c r="C127" s="7">
        <v>8</v>
      </c>
      <c r="D127" s="7">
        <v>9</v>
      </c>
      <c r="E127" s="7">
        <v>8</v>
      </c>
      <c r="F127" s="7">
        <v>8</v>
      </c>
      <c r="G127" s="7">
        <v>9</v>
      </c>
      <c r="H127" s="7">
        <v>9</v>
      </c>
      <c r="I127" s="7">
        <v>8</v>
      </c>
      <c r="J127" s="7">
        <v>9</v>
      </c>
      <c r="K127" s="7">
        <v>8</v>
      </c>
      <c r="L127" s="7">
        <v>8</v>
      </c>
      <c r="M127" s="7">
        <f t="shared" si="1"/>
        <v>8.4</v>
      </c>
    </row>
    <row r="128" spans="1:17" ht="15" x14ac:dyDescent="0.2">
      <c r="B128" s="9" t="s">
        <v>8</v>
      </c>
      <c r="C128" s="7">
        <v>49.3</v>
      </c>
      <c r="D128" s="7">
        <v>47.7</v>
      </c>
      <c r="E128" s="7">
        <v>49.8</v>
      </c>
      <c r="F128" s="7">
        <v>52.9</v>
      </c>
      <c r="G128" s="7">
        <v>47.4</v>
      </c>
      <c r="H128" s="7">
        <v>51.6</v>
      </c>
      <c r="I128" s="7">
        <v>42.7</v>
      </c>
      <c r="J128" s="7">
        <v>42.7</v>
      </c>
      <c r="K128" s="7">
        <v>48</v>
      </c>
      <c r="L128" s="7">
        <v>53.1</v>
      </c>
      <c r="M128" s="7">
        <f t="shared" si="1"/>
        <v>48.52</v>
      </c>
    </row>
    <row r="130" spans="1:2" x14ac:dyDescent="0.2">
      <c r="A130" s="12"/>
      <c r="B130" s="12"/>
    </row>
    <row r="131" spans="1:2" x14ac:dyDescent="0.2">
      <c r="B131" s="12"/>
    </row>
  </sheetData>
  <phoneticPr fontId="4" type="noConversion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臧运祥</dc:creator>
  <cp:lastModifiedBy>Chris Green</cp:lastModifiedBy>
  <cp:lastPrinted>2025-08-12T15:12:00Z</cp:lastPrinted>
  <dcterms:created xsi:type="dcterms:W3CDTF">2025-01-12T12:09:00Z</dcterms:created>
  <dcterms:modified xsi:type="dcterms:W3CDTF">2026-04-20T13:00:23Z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E4A6DD709EB54BACB28C522111C6324F_12</vt:lpwstr>
  </property>
  <property fmtid="{D5CDD505-2E9C-101B-9397-08002B2CF9AE}" pid="3" name="KSOProductBuildVer">
    <vt:lpwstr>2052-12.1.0.22215</vt:lpwstr>
  </property>
</Properties>
</file>