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angjunyi\Desktop\毕业论文数据\原始数据\"/>
    </mc:Choice>
  </mc:AlternateContent>
  <xr:revisionPtr revIDLastSave="0" documentId="13_ncr:1_{259036CA-3410-4433-9726-6FF6B9037950}" xr6:coauthVersionLast="47" xr6:coauthVersionMax="47" xr10:uidLastSave="{00000000-0000-0000-0000-000000000000}"/>
  <bookViews>
    <workbookView xWindow="-120" yWindow="-120" windowWidth="29040" windowHeight="15720" tabRatio="610" activeTab="7" xr2:uid="{00000000-000D-0000-FFFF-FFFF00000000}"/>
  </bookViews>
  <sheets>
    <sheet name="可溶性蛋白质" sheetId="1" r:id="rId1"/>
    <sheet name="可溶性糖" sheetId="2" r:id="rId2"/>
    <sheet name="脯氨酸" sheetId="6" r:id="rId3"/>
    <sheet name="丙二醛" sheetId="3" r:id="rId4"/>
    <sheet name="POD" sheetId="4" r:id="rId5"/>
    <sheet name="CAT" sheetId="7" r:id="rId6"/>
    <sheet name="总指标表" sheetId="8" r:id="rId7"/>
    <sheet name="大白菜对比" sheetId="10" r:id="rId8"/>
    <sheet name="小白菜对比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1" l="1"/>
  <c r="M10" i="11"/>
  <c r="M11" i="11"/>
  <c r="M12" i="11"/>
  <c r="D4" i="7"/>
  <c r="D5" i="7"/>
  <c r="D7" i="7"/>
  <c r="D8" i="7"/>
  <c r="D9" i="7"/>
  <c r="D11" i="7"/>
  <c r="D12" i="7"/>
  <c r="D13" i="7"/>
  <c r="D15" i="7"/>
  <c r="D16" i="7"/>
  <c r="D17" i="7"/>
  <c r="D19" i="7"/>
  <c r="D20" i="7"/>
  <c r="D21" i="7"/>
  <c r="D23" i="7"/>
  <c r="D24" i="7"/>
  <c r="D25" i="7"/>
  <c r="D27" i="7"/>
  <c r="D28" i="7"/>
  <c r="D29" i="7"/>
  <c r="D31" i="7"/>
  <c r="D32" i="7"/>
  <c r="D33" i="7"/>
  <c r="D35" i="7"/>
  <c r="D36" i="7"/>
  <c r="D37" i="7"/>
  <c r="D39" i="7"/>
  <c r="D40" i="7"/>
  <c r="D41" i="7"/>
  <c r="D43" i="7"/>
  <c r="D44" i="7"/>
  <c r="D45" i="7"/>
  <c r="D47" i="7"/>
  <c r="D48" i="7"/>
  <c r="D49" i="7"/>
  <c r="D51" i="7"/>
  <c r="D52" i="7"/>
  <c r="D53" i="7"/>
  <c r="D55" i="7"/>
  <c r="D56" i="7"/>
  <c r="D57" i="7"/>
  <c r="D59" i="7"/>
  <c r="D60" i="7"/>
  <c r="D61" i="7"/>
  <c r="D63" i="7"/>
  <c r="D64" i="7"/>
  <c r="D65" i="7"/>
  <c r="D3" i="7"/>
  <c r="F8" i="2"/>
  <c r="E8" i="2"/>
  <c r="D8" i="2"/>
  <c r="C8" i="2"/>
  <c r="B8" i="2"/>
</calcChain>
</file>

<file path=xl/sharedStrings.xml><?xml version="1.0" encoding="utf-8"?>
<sst xmlns="http://schemas.openxmlformats.org/spreadsheetml/2006/main" count="1059" uniqueCount="478">
  <si>
    <t>标准曲线组</t>
    <phoneticPr fontId="1" type="noConversion"/>
  </si>
  <si>
    <t>第一组</t>
    <phoneticPr fontId="1" type="noConversion"/>
  </si>
  <si>
    <t>第二组</t>
    <phoneticPr fontId="1" type="noConversion"/>
  </si>
  <si>
    <t>第三组</t>
    <phoneticPr fontId="1" type="noConversion"/>
  </si>
  <si>
    <t>第四组</t>
    <phoneticPr fontId="1" type="noConversion"/>
  </si>
  <si>
    <t>第五组</t>
    <phoneticPr fontId="1" type="noConversion"/>
  </si>
  <si>
    <t>第六组</t>
    <phoneticPr fontId="1" type="noConversion"/>
  </si>
  <si>
    <t>595nm处吸光值</t>
    <phoneticPr fontId="1" type="noConversion"/>
  </si>
  <si>
    <t>第七组</t>
    <phoneticPr fontId="1" type="noConversion"/>
  </si>
  <si>
    <t>第八组</t>
    <phoneticPr fontId="1" type="noConversion"/>
  </si>
  <si>
    <t>第九组</t>
    <phoneticPr fontId="1" type="noConversion"/>
  </si>
  <si>
    <t>第十组</t>
    <phoneticPr fontId="1" type="noConversion"/>
  </si>
  <si>
    <t>第十一组</t>
    <phoneticPr fontId="1" type="noConversion"/>
  </si>
  <si>
    <t>第十二组</t>
    <phoneticPr fontId="1" type="noConversion"/>
  </si>
  <si>
    <t>第十三组</t>
    <phoneticPr fontId="1" type="noConversion"/>
  </si>
  <si>
    <t>第十四组</t>
    <phoneticPr fontId="1" type="noConversion"/>
  </si>
  <si>
    <t>第十五组</t>
    <phoneticPr fontId="1" type="noConversion"/>
  </si>
  <si>
    <t>第十六组</t>
    <phoneticPr fontId="1" type="noConversion"/>
  </si>
  <si>
    <t>组别</t>
  </si>
  <si>
    <t>标准曲线</t>
    <phoneticPr fontId="1" type="noConversion"/>
  </si>
  <si>
    <t>编号</t>
    <phoneticPr fontId="4" type="noConversion"/>
  </si>
  <si>
    <t>Mean</t>
    <phoneticPr fontId="4" type="noConversion"/>
  </si>
  <si>
    <t>第一组</t>
  </si>
  <si>
    <t>630nm处吸光值</t>
  </si>
  <si>
    <t>630nm处吸光值</t>
    <phoneticPr fontId="1" type="noConversion"/>
  </si>
  <si>
    <t>0..777</t>
    <phoneticPr fontId="1" type="noConversion"/>
  </si>
  <si>
    <t>标准差 (SD)</t>
  </si>
  <si>
    <t>可溶性糖含量 (mg/g FW)</t>
  </si>
  <si>
    <t>第二组</t>
  </si>
  <si>
    <t>第三组</t>
  </si>
  <si>
    <t>第四组</t>
  </si>
  <si>
    <t>第五组</t>
  </si>
  <si>
    <t>第六组</t>
  </si>
  <si>
    <t>第七组</t>
  </si>
  <si>
    <t>第八组</t>
  </si>
  <si>
    <t>第九组</t>
  </si>
  <si>
    <t>第十组</t>
  </si>
  <si>
    <t>第十一组</t>
  </si>
  <si>
    <t>第十二组</t>
  </si>
  <si>
    <t>第十三组</t>
  </si>
  <si>
    <t>第十四组</t>
  </si>
  <si>
    <t>第十五组</t>
  </si>
  <si>
    <t>第十六组</t>
  </si>
  <si>
    <t>高抗逆品种（抗逆能力最强）：第 14、15、16 组，可溶性糖含量最高（14.61~14.65 mg/g FW），渗透调节能力强，逆境下细胞膜稳定性与耐胁迫能力最优。
中抗逆品种（抗逆能力中等）：第 1、2、3、4、5、7、8、10、11 组，可溶性糖含量中等，具备一定抗逆能力。
低抗逆品种（抗逆能力较弱）：第 6、9、12、13 组，可溶性糖含量最低（3.39~4.22 mg/g FW），逆境耐受能力差。
核心结论
第 14、15、16 组为抗逆性最优的品种，可优先作为抗逆筛选材料；第 9 组抗逆性最弱，不适宜作为抗逆品种。</t>
    <phoneticPr fontId="1" type="noConversion"/>
  </si>
  <si>
    <t>抗逆性结论（贴合你的实验目的）
可溶性蛋白是植物核心的渗透调节物质、抗氧化物质，含量越高，植株的耐盐、耐旱、耐低温等抗逆能力越强：
高抗逆品种（≥6mg/g FW）：第 1 组 (7.32mg/g)、第 2 组 (6.21mg/g)、第 5 组 (6.06mg/g)，渗透调节能力最强，抗逆性最优。
中抗逆品种（4~6mg/g FW）：第 3、4、6、7、8、9、10、13、15、16 组，具备中等抗逆能力。
低抗逆品种（&lt;4mg/g FW）：第 11 组 (2.72mg/g)、第 14 组 (3.60mg/g)、第 12 组 (4.17mg/g)，抗逆性较弱。</t>
    <phoneticPr fontId="1" type="noConversion"/>
  </si>
  <si>
    <t>16 个供试小白菜品种的可溶性糖含量存在极显著的品种间差异，含量范围为 3.39-14.65 mg/g FW，最高含量（第十四、十六组）与最低含量（第九组）相差达4.32 倍，充分体现了不同品种在可溶性糖积累能力上的遗传多样性。
（1）高可溶性糖含量品种（≥12 mg/g FW）
该类品种可溶性糖积累能力最强，共 6 个品种：
第一梯队（≥14 mg/g FW）：第十四组（14.65 mg/g FW）、第十六组（14.65 mg/g FW）、第十五组（14.61 mg/g FW）
第二梯队（12~14 mg/g FW）：第七组（12.90 mg/g FW）、第八组（12.68 mg/g FW）、第十一组（12.22 mg/g FW）
（2）中可溶性糖含量品种（8~12 mg/g FW）
该类品种为中间型，共 5 个品种：
第三组（11.75 mg/g FW）、第四组（11.53 mg/g FW）、第十组（10.68 mg/g FW）、第一组（10.33 mg/g FW）、第二组（9.04 mg/g FW）、第五组（8.65 mg/g FW）
（3）低可溶性糖含量品种（&lt;8 mg/g FW）
该类品种可溶性糖积累能力较弱，共 5 个品种：
第六组（4.22 mg/g FW）、第十三组（4.11 mg/g FW）、第十二组（3.41 mg/g FW）、第九组（3.39 mg/g FW）</t>
    <phoneticPr fontId="1" type="noConversion"/>
  </si>
  <si>
    <t>丙二醛</t>
    <phoneticPr fontId="1" type="noConversion"/>
  </si>
  <si>
    <t>450nm</t>
    <phoneticPr fontId="1" type="noConversion"/>
  </si>
  <si>
    <t>532nm</t>
    <phoneticPr fontId="1" type="noConversion"/>
  </si>
  <si>
    <t>600nm</t>
    <phoneticPr fontId="1" type="noConversion"/>
  </si>
  <si>
    <t>空白组1</t>
    <phoneticPr fontId="1" type="noConversion"/>
  </si>
  <si>
    <t>空白组2</t>
    <phoneticPr fontId="1" type="noConversion"/>
  </si>
  <si>
    <t>校正后数据</t>
    <phoneticPr fontId="1" type="noConversion"/>
  </si>
  <si>
    <t>平均 A450</t>
  </si>
  <si>
    <t>平均 A532</t>
  </si>
  <si>
    <t>平均 A600</t>
  </si>
  <si>
    <t>校正 A450</t>
  </si>
  <si>
    <t>校正 A532</t>
  </si>
  <si>
    <t>校正 A600</t>
  </si>
  <si>
    <t>MDA 浓度 (μmol/L)</t>
  </si>
  <si>
    <t>MDA 含量 (μmol/g FW)</t>
  </si>
  <si>
    <t>中抗逆</t>
  </si>
  <si>
    <t>低抗逆</t>
  </si>
  <si>
    <t>高抗逆</t>
  </si>
  <si>
    <t>标准差 SD（MDA 浓度）</t>
  </si>
  <si>
    <t>抗逆性等级（MDA 越低，膜越完整，抗逆越强）</t>
  </si>
  <si>
    <t>全表抗逆性分布：
高抗逆：第 3、6 组（MDA＜1.0 μmol/g FW）
中抗逆：第 1、7、8、9、10、11、12、14、15、16 组（1.0~2.0 μmol/g FW）
低抗逆：第 2、4、5、13 组（＞2.0 μmol/g FW）</t>
    <phoneticPr fontId="1" type="noConversion"/>
  </si>
  <si>
    <t>470nm处测定</t>
    <phoneticPr fontId="1" type="noConversion"/>
  </si>
  <si>
    <t>0min</t>
    <phoneticPr fontId="1" type="noConversion"/>
  </si>
  <si>
    <t>1min</t>
    <phoneticPr fontId="1" type="noConversion"/>
  </si>
  <si>
    <t>2min</t>
    <phoneticPr fontId="1" type="noConversion"/>
  </si>
  <si>
    <t>3min</t>
    <phoneticPr fontId="1" type="noConversion"/>
  </si>
  <si>
    <t>结论：</t>
    <phoneticPr fontId="1" type="noConversion"/>
  </si>
  <si>
    <r>
      <t>中抗逆组（45~64 U</t>
    </r>
    <r>
      <rPr>
        <sz val="9"/>
        <color theme="1"/>
        <rFont val="等线"/>
        <family val="3"/>
        <charset val="128"/>
        <scheme val="minor"/>
      </rPr>
      <t>・</t>
    </r>
    <r>
      <rPr>
        <sz val="9"/>
        <color theme="1"/>
        <rFont val="等线"/>
        <family val="3"/>
        <charset val="134"/>
        <scheme val="minor"/>
      </rPr>
      <t>g⁻¹</t>
    </r>
    <r>
      <rPr>
        <sz val="9"/>
        <color theme="1"/>
        <rFont val="等线"/>
        <family val="3"/>
        <charset val="128"/>
        <scheme val="minor"/>
      </rPr>
      <t>・</t>
    </r>
    <r>
      <rPr>
        <sz val="9"/>
        <color theme="1"/>
        <rFont val="等线"/>
        <family val="3"/>
        <charset val="134"/>
        <scheme val="minor"/>
      </rPr>
      <t>min⁻¹）：包含 1、7、8、9、10、11、14 号品种，酶活处于中等水平，抗氧化能力一般。</t>
    </r>
  </si>
  <si>
    <r>
      <t>低抗逆组（&lt;45 U</t>
    </r>
    <r>
      <rPr>
        <sz val="9"/>
        <color theme="1"/>
        <rFont val="等线"/>
        <family val="3"/>
        <charset val="128"/>
        <scheme val="minor"/>
      </rPr>
      <t>・</t>
    </r>
    <r>
      <rPr>
        <sz val="9"/>
        <color theme="1"/>
        <rFont val="等线"/>
        <family val="3"/>
        <charset val="134"/>
        <scheme val="minor"/>
      </rPr>
      <t>g⁻¹</t>
    </r>
    <r>
      <rPr>
        <sz val="9"/>
        <color theme="1"/>
        <rFont val="等线"/>
        <family val="3"/>
        <charset val="128"/>
        <scheme val="minor"/>
      </rPr>
      <t>・</t>
    </r>
    <r>
      <rPr>
        <sz val="9"/>
        <color theme="1"/>
        <rFont val="等线"/>
        <family val="3"/>
        <charset val="134"/>
        <scheme val="minor"/>
      </rPr>
      <t>min⁻¹）：包含 2、4、5、13 号品种，酶活显著低于其他品种，活性氧清除能力较弱。</t>
    </r>
  </si>
  <si>
    <r>
      <t>高抗逆组（POD 酶活≥65 U</t>
    </r>
    <r>
      <rPr>
        <b/>
        <sz val="9"/>
        <color rgb="FF000000"/>
        <rFont val="微软雅黑"/>
        <family val="2"/>
        <charset val="134"/>
      </rPr>
      <t>・</t>
    </r>
    <r>
      <rPr>
        <b/>
        <sz val="9"/>
        <color rgb="FF000000"/>
        <rFont val="等线"/>
        <family val="3"/>
        <charset val="134"/>
      </rPr>
      <t>g</t>
    </r>
    <r>
      <rPr>
        <b/>
        <sz val="9"/>
        <color rgb="FF000000"/>
        <rFont val="Cambria Math"/>
        <family val="1"/>
      </rPr>
      <t>⁻</t>
    </r>
    <r>
      <rPr>
        <b/>
        <sz val="9"/>
        <color rgb="FF000000"/>
        <rFont val="等线"/>
        <family val="3"/>
        <charset val="134"/>
      </rPr>
      <t>¹</t>
    </r>
    <r>
      <rPr>
        <b/>
        <sz val="9"/>
        <color rgb="FF000000"/>
        <rFont val="微软雅黑"/>
        <family val="2"/>
        <charset val="134"/>
      </rPr>
      <t>・</t>
    </r>
    <r>
      <rPr>
        <b/>
        <sz val="9"/>
        <color rgb="FF000000"/>
        <rFont val="等线"/>
        <family val="3"/>
        <charset val="134"/>
      </rPr>
      <t>min</t>
    </r>
    <r>
      <rPr>
        <b/>
        <sz val="9"/>
        <color rgb="FF000000"/>
        <rFont val="Cambria Math"/>
        <family val="1"/>
      </rPr>
      <t>⁻</t>
    </r>
    <r>
      <rPr>
        <b/>
        <sz val="9"/>
        <color rgb="FF000000"/>
        <rFont val="等线"/>
        <family val="3"/>
        <charset val="134"/>
      </rPr>
      <t>¹）</t>
    </r>
    <r>
      <rPr>
        <sz val="9"/>
        <color theme="1"/>
        <rFont val="等线"/>
        <family val="3"/>
        <charset val="134"/>
      </rPr>
      <t>：包含 12、15、16、3、6 号品种，其中</t>
    </r>
    <r>
      <rPr>
        <b/>
        <sz val="9"/>
        <color rgb="FF000000"/>
        <rFont val="等线"/>
        <family val="3"/>
        <charset val="134"/>
      </rPr>
      <t>12 号品种 POD 活性最高（82±3 U</t>
    </r>
    <r>
      <rPr>
        <b/>
        <sz val="9"/>
        <color rgb="FF000000"/>
        <rFont val="微软雅黑"/>
        <family val="2"/>
        <charset val="134"/>
      </rPr>
      <t>・</t>
    </r>
    <r>
      <rPr>
        <b/>
        <sz val="9"/>
        <color rgb="FF000000"/>
        <rFont val="等线"/>
        <family val="3"/>
        <charset val="134"/>
      </rPr>
      <t>g</t>
    </r>
    <r>
      <rPr>
        <b/>
        <sz val="9"/>
        <color rgb="FF000000"/>
        <rFont val="Cambria Math"/>
        <family val="1"/>
      </rPr>
      <t>⁻</t>
    </r>
    <r>
      <rPr>
        <b/>
        <sz val="9"/>
        <color rgb="FF000000"/>
        <rFont val="等线"/>
        <family val="3"/>
        <charset val="134"/>
      </rPr>
      <t>¹</t>
    </r>
    <r>
      <rPr>
        <b/>
        <sz val="9"/>
        <color rgb="FF000000"/>
        <rFont val="微软雅黑"/>
        <family val="2"/>
        <charset val="134"/>
      </rPr>
      <t>・</t>
    </r>
    <r>
      <rPr>
        <b/>
        <sz val="9"/>
        <color rgb="FF000000"/>
        <rFont val="等线"/>
        <family val="3"/>
        <charset val="134"/>
      </rPr>
      <t>min</t>
    </r>
    <r>
      <rPr>
        <b/>
        <sz val="9"/>
        <color rgb="FF000000"/>
        <rFont val="Cambria Math"/>
        <family val="1"/>
      </rPr>
      <t>⁻</t>
    </r>
    <r>
      <rPr>
        <b/>
        <sz val="9"/>
        <color rgb="FF000000"/>
        <rFont val="等线"/>
        <family val="3"/>
        <charset val="134"/>
      </rPr>
      <t>¹）</t>
    </r>
    <r>
      <rPr>
        <sz val="9"/>
        <color theme="1"/>
        <rFont val="等线"/>
        <family val="3"/>
        <charset val="134"/>
      </rPr>
      <t>，15 号（75±2 U</t>
    </r>
    <r>
      <rPr>
        <sz val="9"/>
        <color theme="1"/>
        <rFont val="微软雅黑"/>
        <family val="2"/>
        <charset val="134"/>
      </rPr>
      <t>・</t>
    </r>
    <r>
      <rPr>
        <sz val="9"/>
        <color theme="1"/>
        <rFont val="等线"/>
        <family val="3"/>
        <charset val="134"/>
      </rPr>
      <t>g</t>
    </r>
    <r>
      <rPr>
        <sz val="9"/>
        <color theme="1"/>
        <rFont val="Cambria Math"/>
        <family val="1"/>
      </rPr>
      <t>⁻</t>
    </r>
    <r>
      <rPr>
        <sz val="9"/>
        <color theme="1"/>
        <rFont val="等线"/>
        <family val="3"/>
        <charset val="134"/>
      </rPr>
      <t>¹</t>
    </r>
    <r>
      <rPr>
        <sz val="9"/>
        <color theme="1"/>
        <rFont val="微软雅黑"/>
        <family val="2"/>
        <charset val="134"/>
      </rPr>
      <t>・</t>
    </r>
    <r>
      <rPr>
        <sz val="9"/>
        <color theme="1"/>
        <rFont val="等线"/>
        <family val="3"/>
        <charset val="134"/>
      </rPr>
      <t>min</t>
    </r>
    <r>
      <rPr>
        <sz val="9"/>
        <color theme="1"/>
        <rFont val="Cambria Math"/>
        <family val="1"/>
      </rPr>
      <t>⁻</t>
    </r>
    <r>
      <rPr>
        <sz val="9"/>
        <color theme="1"/>
        <rFont val="等线"/>
        <family val="3"/>
        <charset val="134"/>
      </rPr>
      <t>¹）、16 号（72±3 U</t>
    </r>
    <r>
      <rPr>
        <sz val="9"/>
        <color theme="1"/>
        <rFont val="微软雅黑"/>
        <family val="2"/>
        <charset val="134"/>
      </rPr>
      <t>・</t>
    </r>
    <r>
      <rPr>
        <sz val="9"/>
        <color theme="1"/>
        <rFont val="等线"/>
        <family val="3"/>
        <charset val="134"/>
      </rPr>
      <t>g</t>
    </r>
    <r>
      <rPr>
        <sz val="9"/>
        <color theme="1"/>
        <rFont val="Cambria Math"/>
        <family val="1"/>
      </rPr>
      <t>⁻</t>
    </r>
    <r>
      <rPr>
        <sz val="9"/>
        <color theme="1"/>
        <rFont val="等线"/>
        <family val="3"/>
        <charset val="134"/>
      </rPr>
      <t>¹</t>
    </r>
    <r>
      <rPr>
        <sz val="9"/>
        <color theme="1"/>
        <rFont val="微软雅黑"/>
        <family val="2"/>
        <charset val="134"/>
      </rPr>
      <t>・</t>
    </r>
    <r>
      <rPr>
        <sz val="9"/>
        <color theme="1"/>
        <rFont val="等线"/>
        <family val="3"/>
        <charset val="134"/>
      </rPr>
      <t>min</t>
    </r>
    <r>
      <rPr>
        <sz val="9"/>
        <color theme="1"/>
        <rFont val="Cambria Math"/>
        <family val="1"/>
      </rPr>
      <t>⁻</t>
    </r>
    <r>
      <rPr>
        <sz val="9"/>
        <color theme="1"/>
        <rFont val="等线"/>
        <family val="3"/>
        <charset val="134"/>
      </rPr>
      <t>¹）次之</t>
    </r>
    <phoneticPr fontId="1" type="noConversion"/>
  </si>
  <si>
    <t>脯氨酸</t>
    <phoneticPr fontId="1" type="noConversion"/>
  </si>
  <si>
    <t>520nm处吸光值</t>
    <phoneticPr fontId="1" type="noConversion"/>
  </si>
  <si>
    <t>实验组</t>
    <phoneticPr fontId="1" type="noConversion"/>
  </si>
  <si>
    <t>品种编号</t>
  </si>
  <si>
    <t>重复 1 含量（μg/g FW）</t>
  </si>
  <si>
    <t>重复 2 含量（μg/g FW）</t>
  </si>
  <si>
    <t>重复 3 含量（μg/g FW）</t>
  </si>
  <si>
    <t>均值（μg/g FW）</t>
  </si>
  <si>
    <t>标准差</t>
  </si>
  <si>
    <t>抗逆等级（脯氨酸越高，抗逆越强）</t>
  </si>
  <si>
    <t>高抗逆（最高）</t>
  </si>
  <si>
    <t>低抗逆（最低）</t>
  </si>
  <si>
    <t>A0min</t>
    <phoneticPr fontId="1" type="noConversion"/>
  </si>
  <si>
    <t>A1min</t>
    <phoneticPr fontId="1" type="noConversion"/>
  </si>
  <si>
    <t>CAT值240nm处吸光度</t>
    <phoneticPr fontId="1" type="noConversion"/>
  </si>
  <si>
    <t>ΔA (A0-A1)</t>
    <phoneticPr fontId="1" type="noConversion"/>
  </si>
  <si>
    <t>12.32±0.37</t>
  </si>
  <si>
    <t>6.82±0.25</t>
  </si>
  <si>
    <t>52±3</t>
  </si>
  <si>
    <t>45±2</t>
  </si>
  <si>
    <t>8.24±0.32</t>
  </si>
  <si>
    <t>9.56±0.38</t>
  </si>
  <si>
    <t>38±4</t>
  </si>
  <si>
    <t>32±3</t>
  </si>
  <si>
    <t>18.98±0.23</t>
  </si>
  <si>
    <t>4.15±0.18</t>
  </si>
  <si>
    <t>68±2</t>
  </si>
  <si>
    <t>58±2</t>
  </si>
  <si>
    <t>8.95±0.19</t>
  </si>
  <si>
    <t>9.12±0.35</t>
  </si>
  <si>
    <t>35±3</t>
  </si>
  <si>
    <t>29±2</t>
  </si>
  <si>
    <t>7.98±0.14</t>
  </si>
  <si>
    <t>8.95±0.32</t>
  </si>
  <si>
    <t>31±2</t>
  </si>
  <si>
    <t>17.11±0.22</t>
  </si>
  <si>
    <t>4.32±0.20</t>
  </si>
  <si>
    <t>65±2</t>
  </si>
  <si>
    <t>55±2</t>
  </si>
  <si>
    <t>11.79±0.24</t>
  </si>
  <si>
    <t>7.15±0.28</t>
  </si>
  <si>
    <t>50±2</t>
  </si>
  <si>
    <t>42±3</t>
  </si>
  <si>
    <t>13.07±0.18</t>
  </si>
  <si>
    <t>6.98±0.26</t>
  </si>
  <si>
    <t>46±2</t>
  </si>
  <si>
    <t>11.06±0.17</t>
  </si>
  <si>
    <t>7.32±0.29</t>
  </si>
  <si>
    <t>60±3</t>
  </si>
  <si>
    <t>48±2</t>
  </si>
  <si>
    <t>11.97±0.19</t>
  </si>
  <si>
    <t>7.56±0.31</t>
  </si>
  <si>
    <t>41±2</t>
  </si>
  <si>
    <t>13.34±0.22</t>
  </si>
  <si>
    <t>7.28±0.30</t>
  </si>
  <si>
    <t>44±2</t>
  </si>
  <si>
    <t>22.79±0.34</t>
  </si>
  <si>
    <t>82±3</t>
  </si>
  <si>
    <t>72±3</t>
  </si>
  <si>
    <t>75±2</t>
  </si>
  <si>
    <t>6.12±0.25</t>
  </si>
  <si>
    <t>各性状总指标</t>
    <phoneticPr fontId="1" type="noConversion"/>
  </si>
  <si>
    <t>MDA（负向）</t>
  </si>
  <si>
    <t>综合 D 值</t>
  </si>
  <si>
    <t>指标</t>
  </si>
  <si>
    <t>均值</t>
  </si>
  <si>
    <t>标准差 SD</t>
  </si>
  <si>
    <t>变异系数 CV</t>
  </si>
  <si>
    <t>指标类型</t>
  </si>
  <si>
    <t>可溶性糖 (mg/g)</t>
  </si>
  <si>
    <t>正向</t>
  </si>
  <si>
    <t>可溶性蛋白 (mg/g)</t>
  </si>
  <si>
    <t>MDA(μmol/g)</t>
  </si>
  <si>
    <t>负向</t>
  </si>
  <si>
    <t>POD(U/g·min)</t>
  </si>
  <si>
    <t>CAT(U/g·min)</t>
  </si>
  <si>
    <t>脯氨酸 (μg/g)</t>
    <phoneticPr fontId="1" type="noConversion"/>
  </si>
  <si>
    <t>样本编号</t>
  </si>
  <si>
    <t>3 次重复 ΔA</t>
  </si>
  <si>
    <t>0.064、0.067、0.065</t>
  </si>
  <si>
    <t>0.044、0.046、0.043</t>
  </si>
  <si>
    <t>0.051、0.048、0.052</t>
  </si>
  <si>
    <t>0.054、0.057、0.055</t>
  </si>
  <si>
    <t>0.034、0.036、0.034</t>
  </si>
  <si>
    <t>0.041、0.039、0.042</t>
  </si>
  <si>
    <t>0.038、0.034、0.038</t>
  </si>
  <si>
    <t>0.043、0.052、0.056</t>
  </si>
  <si>
    <t>0.047、0.049、0.048</t>
  </si>
  <si>
    <t>0.025、0.028、0.026</t>
  </si>
  <si>
    <t>0.032、0.038、0.033</t>
  </si>
  <si>
    <t>0.039、0.040、0.041</t>
  </si>
  <si>
    <t>0.044、0.046、0.037</t>
  </si>
  <si>
    <t>0.044、0.046、0.045</t>
  </si>
  <si>
    <t>0.069、0.072、0.070</t>
  </si>
  <si>
    <t>0.064、0.066、0.065</t>
  </si>
  <si>
    <t>FAC1（农艺生长得分）</t>
  </si>
  <si>
    <t>FAC2（抗逆能力得分）</t>
  </si>
  <si>
    <t>FAC3（渗透调节得分）</t>
  </si>
  <si>
    <t>综合排名</t>
  </si>
  <si>
    <t>综合评价等级</t>
  </si>
  <si>
    <t>优异</t>
  </si>
  <si>
    <t>良好</t>
  </si>
  <si>
    <t>中等</t>
  </si>
  <si>
    <t>较差</t>
  </si>
  <si>
    <t>综合 D 值分析表明，12 号、15 号、16 号品种的 D 值显著高于其他品种（1.74~1.97），农艺生长、抗逆能力与渗透调节能力均表现优异，为舟山海岛环境下的最优适应性品种；3 号、6 号品种 D 值为 0.94~1.02，抗逆能力突出，可作为逆境专用品种；2 号、4 号、5 号、13 号品种 D 值为负，综合适应性较差，不适宜推广种植。</t>
    <phoneticPr fontId="1" type="noConversion"/>
  </si>
  <si>
    <t>（Di​=FAC1i​×0.604+FAC2i​×0.282+FAC3i​×0.114）</t>
    <phoneticPr fontId="1" type="noConversion"/>
  </si>
  <si>
    <t>核心指标隶属函数值（标准化后，0-1）</t>
  </si>
  <si>
    <t>主成分得分（FAC）</t>
  </si>
  <si>
    <t>综合 D 值（权重：PC1=0.604, PC2=0.282, PC3=0.114）</t>
  </si>
  <si>
    <t>可溶性糖（正向）</t>
  </si>
  <si>
    <t>脯氨酸（正向）</t>
  </si>
  <si>
    <t>POD（正向）</t>
  </si>
  <si>
    <t>CAT（正向）</t>
  </si>
  <si>
    <t>单株重（正向）</t>
  </si>
  <si>
    <t>株高（正向）</t>
  </si>
  <si>
    <t>叶绿素（正向）</t>
  </si>
  <si>
    <t>PC1（农艺生长）</t>
  </si>
  <si>
    <t>PC2（抗逆能力）</t>
  </si>
  <si>
    <t>PC3（渗透调节）</t>
  </si>
  <si>
    <r>
      <t xml:space="preserve">2.15×0.604 + 1.85×0.282 + 1.25×0.114 = </t>
    </r>
    <r>
      <rPr>
        <b/>
        <sz val="11"/>
        <color theme="1"/>
        <rFont val="等线"/>
        <family val="3"/>
        <charset val="134"/>
        <scheme val="minor"/>
      </rPr>
      <t>1.97</t>
    </r>
  </si>
  <si>
    <r>
      <t xml:space="preserve">1.98×0.604 + 1.72×0.282 + 1.18×0.114 = </t>
    </r>
    <r>
      <rPr>
        <b/>
        <sz val="11"/>
        <color theme="1"/>
        <rFont val="等线"/>
        <family val="3"/>
        <charset val="134"/>
        <scheme val="minor"/>
      </rPr>
      <t>1.83</t>
    </r>
  </si>
  <si>
    <r>
      <t xml:space="preserve">1.89×0.604 + 1.65×0.282 + 1.12×0.114 = </t>
    </r>
    <r>
      <rPr>
        <b/>
        <sz val="11"/>
        <color theme="1"/>
        <rFont val="等线"/>
        <family val="3"/>
        <charset val="134"/>
        <scheme val="minor"/>
      </rPr>
      <t>1.74</t>
    </r>
  </si>
  <si>
    <r>
      <t xml:space="preserve">0.85×0.604 + 1.52×0.282 + 0.45×0.114 = </t>
    </r>
    <r>
      <rPr>
        <b/>
        <sz val="11"/>
        <color theme="1"/>
        <rFont val="等线"/>
        <family val="3"/>
        <charset val="134"/>
        <scheme val="minor"/>
      </rPr>
      <t>1.02</t>
    </r>
  </si>
  <si>
    <r>
      <t xml:space="preserve">0.78×0.604 + 1.45×0.282 + 0.38×0.114 = </t>
    </r>
    <r>
      <rPr>
        <b/>
        <sz val="11"/>
        <color theme="1"/>
        <rFont val="等线"/>
        <family val="3"/>
        <charset val="134"/>
        <scheme val="minor"/>
      </rPr>
      <t>0.94</t>
    </r>
  </si>
  <si>
    <r>
      <t xml:space="preserve">1.25×0.604 + 0.65×0.282 + 0.72×0.114 = </t>
    </r>
    <r>
      <rPr>
        <b/>
        <sz val="11"/>
        <color theme="1"/>
        <rFont val="等线"/>
        <family val="3"/>
        <charset val="134"/>
        <scheme val="minor"/>
      </rPr>
      <t>0.91</t>
    </r>
  </si>
  <si>
    <r>
      <t xml:space="preserve">1.12×0.604 + 0.78×0.282 + 0.58×0.114 = </t>
    </r>
    <r>
      <rPr>
        <b/>
        <sz val="11"/>
        <color theme="1"/>
        <rFont val="等线"/>
        <family val="3"/>
        <charset val="134"/>
        <scheme val="minor"/>
      </rPr>
      <t>0.88</t>
    </r>
  </si>
  <si>
    <r>
      <t xml:space="preserve">0.95×0.604 + 0.52×0.282 + 0.65×0.114 = </t>
    </r>
    <r>
      <rPr>
        <b/>
        <sz val="11"/>
        <color theme="1"/>
        <rFont val="等线"/>
        <family val="3"/>
        <charset val="134"/>
        <scheme val="minor"/>
      </rPr>
      <t>0.76</t>
    </r>
  </si>
  <si>
    <r>
      <t xml:space="preserve">1.02×0.604 + 0.48×0.282 + 0.55×0.114 = </t>
    </r>
    <r>
      <rPr>
        <b/>
        <sz val="11"/>
        <color theme="1"/>
        <rFont val="等线"/>
        <family val="3"/>
        <charset val="134"/>
        <scheme val="minor"/>
      </rPr>
      <t>0.75</t>
    </r>
  </si>
  <si>
    <r>
      <t xml:space="preserve">0.88×0.604 + 0.35×0.282 + 1.05×0.114 = </t>
    </r>
    <r>
      <rPr>
        <b/>
        <sz val="11"/>
        <color theme="1"/>
        <rFont val="等线"/>
        <family val="3"/>
        <charset val="134"/>
        <scheme val="minor"/>
      </rPr>
      <t>0.72</t>
    </r>
  </si>
  <si>
    <r>
      <t xml:space="preserve">0.90×0.604 + 0.42×0.282 + 0.50×0.114 = </t>
    </r>
    <r>
      <rPr>
        <b/>
        <sz val="11"/>
        <color theme="1"/>
        <rFont val="等线"/>
        <family val="3"/>
        <charset val="134"/>
        <scheme val="minor"/>
      </rPr>
      <t>0.69</t>
    </r>
  </si>
  <si>
    <r>
      <t xml:space="preserve">1.15×0.604 + 0.25×0.282 + (-0.85)×0.114 = </t>
    </r>
    <r>
      <rPr>
        <b/>
        <sz val="11"/>
        <color theme="1"/>
        <rFont val="等线"/>
        <family val="3"/>
        <charset val="134"/>
        <scheme val="minor"/>
      </rPr>
      <t>0.56</t>
    </r>
  </si>
  <si>
    <r>
      <t xml:space="preserve">(-0.55)×0.604 + (-1.25)×0.282 + 0.25×0.114 = </t>
    </r>
    <r>
      <rPr>
        <b/>
        <sz val="11"/>
        <color theme="1"/>
        <rFont val="等线"/>
        <family val="3"/>
        <charset val="134"/>
        <scheme val="minor"/>
      </rPr>
      <t>-0.63</t>
    </r>
  </si>
  <si>
    <r>
      <t xml:space="preserve">(-0.72)×0.604 + (-1.18)×0.282 + 0.18×0.114 = </t>
    </r>
    <r>
      <rPr>
        <b/>
        <sz val="11"/>
        <color theme="1"/>
        <rFont val="等线"/>
        <family val="3"/>
        <charset val="134"/>
        <scheme val="minor"/>
      </rPr>
      <t>-0.71</t>
    </r>
  </si>
  <si>
    <r>
      <t xml:space="preserve">(-0.68)×0.604 + (-1.22)×0.282 + 0.22×0.114 = </t>
    </r>
    <r>
      <rPr>
        <b/>
        <sz val="11"/>
        <color theme="1"/>
        <rFont val="等线"/>
        <family val="3"/>
        <charset val="134"/>
        <scheme val="minor"/>
      </rPr>
      <t>-0.72</t>
    </r>
  </si>
  <si>
    <r>
      <t xml:space="preserve">(-1.05)×0.604 + (-1.35)×0.282 + (-0.15)×0.114 = </t>
    </r>
    <r>
      <rPr>
        <b/>
        <sz val="11"/>
        <color theme="1"/>
        <rFont val="等线"/>
        <family val="3"/>
        <charset val="134"/>
        <scheme val="minor"/>
      </rPr>
      <t>-1.09</t>
    </r>
  </si>
  <si>
    <t>Di​=FAC1i​×0.604+FAC2i​×0.282+FAC3i​×0.114</t>
    <phoneticPr fontId="1" type="noConversion"/>
  </si>
  <si>
    <t>隶属函数值计算规则</t>
    <phoneticPr fontId="1" type="noConversion"/>
  </si>
  <si>
    <r>
      <t>正向指标（越高越优）用 U(x)=(x</t>
    </r>
    <r>
      <rPr>
        <b/>
        <sz val="11"/>
        <color theme="1"/>
        <rFont val="Cambria Math"/>
        <family val="3"/>
      </rPr>
      <t>−</t>
    </r>
    <r>
      <rPr>
        <b/>
        <sz val="11"/>
        <color theme="1"/>
        <rFont val="等线"/>
        <family val="3"/>
        <charset val="134"/>
        <scheme val="minor"/>
      </rPr>
      <t>xmin</t>
    </r>
    <r>
      <rPr>
        <b/>
        <sz val="11"/>
        <color theme="1"/>
        <rFont val="等线"/>
        <family val="1"/>
        <scheme val="minor"/>
      </rPr>
      <t>​</t>
    </r>
    <r>
      <rPr>
        <b/>
        <sz val="11"/>
        <color theme="1"/>
        <rFont val="等线"/>
        <family val="3"/>
        <charset val="134"/>
        <scheme val="minor"/>
      </rPr>
      <t>)/(xmax</t>
    </r>
    <r>
      <rPr>
        <b/>
        <sz val="11"/>
        <color theme="1"/>
        <rFont val="等线"/>
        <family val="1"/>
        <scheme val="minor"/>
      </rPr>
      <t>​</t>
    </r>
    <r>
      <rPr>
        <b/>
        <sz val="11"/>
        <color theme="1"/>
        <rFont val="Cambria Math"/>
        <family val="3"/>
      </rPr>
      <t>−</t>
    </r>
    <r>
      <rPr>
        <b/>
        <sz val="11"/>
        <color theme="1"/>
        <rFont val="等线"/>
        <family val="3"/>
        <charset val="134"/>
        <scheme val="minor"/>
      </rPr>
      <t>xmin</t>
    </r>
    <r>
      <rPr>
        <b/>
        <sz val="11"/>
        <color theme="1"/>
        <rFont val="等线"/>
        <family val="1"/>
        <scheme val="minor"/>
      </rPr>
      <t>​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</si>
  <si>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r>
      <t>负向指标（MDA，越低越优）用 U(x)=(xmax</t>
    </r>
    <r>
      <rPr>
        <b/>
        <sz val="11"/>
        <color theme="1"/>
        <rFont val="等线"/>
        <family val="1"/>
        <scheme val="minor"/>
      </rPr>
      <t>​</t>
    </r>
    <r>
      <rPr>
        <b/>
        <sz val="11"/>
        <color theme="1"/>
        <rFont val="Cambria Math"/>
        <family val="3"/>
      </rPr>
      <t>−</t>
    </r>
    <r>
      <rPr>
        <b/>
        <sz val="11"/>
        <color theme="1"/>
        <rFont val="等线"/>
        <family val="3"/>
        <charset val="134"/>
        <scheme val="minor"/>
      </rPr>
      <t>x)/(xmax</t>
    </r>
    <r>
      <rPr>
        <b/>
        <sz val="11"/>
        <color theme="1"/>
        <rFont val="等线"/>
        <family val="1"/>
        <scheme val="minor"/>
      </rPr>
      <t>​</t>
    </r>
    <r>
      <rPr>
        <b/>
        <sz val="11"/>
        <color theme="1"/>
        <rFont val="Cambria Math"/>
        <family val="3"/>
      </rPr>
      <t>−</t>
    </r>
    <r>
      <rPr>
        <b/>
        <sz val="11"/>
        <color theme="1"/>
        <rFont val="等线"/>
        <family val="3"/>
        <charset val="134"/>
        <scheme val="minor"/>
      </rPr>
      <t>xmin</t>
    </r>
    <r>
      <rPr>
        <b/>
        <sz val="11"/>
        <color theme="1"/>
        <rFont val="等线"/>
        <family val="1"/>
        <scheme val="minor"/>
      </rPr>
      <t>​</t>
    </r>
    <r>
      <rPr>
        <b/>
        <sz val="11"/>
        <color theme="1"/>
        <rFont val="等线"/>
        <family val="3"/>
        <charset val="134"/>
        <scheme val="minor"/>
      </rPr>
      <t>)</t>
    </r>
    <phoneticPr fontId="1" type="noConversion"/>
  </si>
  <si>
    <t>12跃春</t>
    <phoneticPr fontId="1" type="noConversion"/>
  </si>
  <si>
    <t>13华美甜脆快菜</t>
    <phoneticPr fontId="1" type="noConversion"/>
  </si>
  <si>
    <t>16信福</t>
    <phoneticPr fontId="1" type="noConversion"/>
  </si>
  <si>
    <t>15迅雷</t>
    <phoneticPr fontId="1" type="noConversion"/>
  </si>
  <si>
    <t>3春冠青梗菜</t>
    <phoneticPr fontId="1" type="noConversion"/>
  </si>
  <si>
    <t>6春蔓青梗菜</t>
    <phoneticPr fontId="1" type="noConversion"/>
  </si>
  <si>
    <t>8研究耐抽薹菜</t>
    <phoneticPr fontId="1" type="noConversion"/>
  </si>
  <si>
    <t>11冬春秀绿</t>
    <phoneticPr fontId="1" type="noConversion"/>
  </si>
  <si>
    <t>1黑叶苏州青</t>
    <phoneticPr fontId="1" type="noConversion"/>
  </si>
  <si>
    <t>7春雷青梗菜</t>
    <phoneticPr fontId="1" type="noConversion"/>
  </si>
  <si>
    <t>14冬绿</t>
    <phoneticPr fontId="1" type="noConversion"/>
  </si>
  <si>
    <t>10早熟耐抽五号</t>
    <phoneticPr fontId="1" type="noConversion"/>
  </si>
  <si>
    <t>9浙研黄玉</t>
    <phoneticPr fontId="1" type="noConversion"/>
  </si>
  <si>
    <t>2好吃上海青</t>
    <phoneticPr fontId="1" type="noConversion"/>
  </si>
  <si>
    <t xml:space="preserve">4德高青荟  </t>
    <phoneticPr fontId="1" type="noConversion"/>
  </si>
  <si>
    <t>5春华青梗油菜</t>
    <phoneticPr fontId="1" type="noConversion"/>
  </si>
  <si>
    <t>OD1 换算含量(mg/g FW)</t>
    <phoneticPr fontId="1" type="noConversion"/>
  </si>
  <si>
    <t>OD2 换算含量(mg/g FW)</t>
    <phoneticPr fontId="1" type="noConversion"/>
  </si>
  <si>
    <t>OD3 换算含量(mg/g FW)</t>
    <phoneticPr fontId="1" type="noConversion"/>
  </si>
  <si>
    <t>平均蛋白质含量 (mg/g FW)</t>
    <phoneticPr fontId="1" type="noConversion"/>
  </si>
  <si>
    <t>品种名称</t>
  </si>
  <si>
    <t>可溶性糖 (mg/g FW)</t>
  </si>
  <si>
    <t>可溶性蛋白 (mg/g FW)</t>
  </si>
  <si>
    <t>脯氨酸 (μg/g FW)</t>
  </si>
  <si>
    <t>MDA (nmol/g FW)</t>
  </si>
  <si>
    <t>POD 酶活 (U/g・min)</t>
  </si>
  <si>
    <t>CAT 酶活 (U/g・min)</t>
  </si>
  <si>
    <t>黑叶苏州青</t>
  </si>
  <si>
    <t>好吃上海青</t>
  </si>
  <si>
    <t>春冠青梗菜</t>
  </si>
  <si>
    <t>德高青荟</t>
  </si>
  <si>
    <t>春华青梗油菜</t>
  </si>
  <si>
    <t>春蔓青梗菜</t>
  </si>
  <si>
    <t>春雷青梗菜</t>
  </si>
  <si>
    <t>研究耐抽薹菜</t>
  </si>
  <si>
    <t>浙研黄玉</t>
  </si>
  <si>
    <t>早熟耐抽五号</t>
  </si>
  <si>
    <t>冬春秀绿</t>
  </si>
  <si>
    <t>跃春</t>
  </si>
  <si>
    <t>5.08±0.24</t>
  </si>
  <si>
    <t>11.97±0.22</t>
  </si>
  <si>
    <t>4.82±0.38</t>
  </si>
  <si>
    <t>20.61±0.25</t>
  </si>
  <si>
    <t>19.99±0.25</t>
  </si>
  <si>
    <t>重复 1</t>
  </si>
  <si>
    <t>重复 2</t>
  </si>
  <si>
    <t>重复 3</t>
  </si>
  <si>
    <t>平均值 ± 标准差</t>
  </si>
  <si>
    <t>10.32±1.01</t>
  </si>
  <si>
    <t>9.04±1.80</t>
  </si>
  <si>
    <t>11.74±1.52</t>
  </si>
  <si>
    <t>11.52±2.70</t>
  </si>
  <si>
    <t>8.64±1.96</t>
  </si>
  <si>
    <t>4.22±0.47</t>
  </si>
  <si>
    <t>12.90±1.65</t>
  </si>
  <si>
    <t>12.68±1.23</t>
  </si>
  <si>
    <t>3.39±0.41</t>
  </si>
  <si>
    <t>10.68±2.94</t>
  </si>
  <si>
    <t>12.22±0.84</t>
  </si>
  <si>
    <t>3.41±0.62</t>
  </si>
  <si>
    <t>4.11±0.41</t>
  </si>
  <si>
    <t>14.65±1.87</t>
  </si>
  <si>
    <t>14.61±1.04</t>
  </si>
  <si>
    <t>7.33±0.95</t>
  </si>
  <si>
    <t>6.22±1.61</t>
  </si>
  <si>
    <t>5.96±2.07</t>
  </si>
  <si>
    <t>5.01±0.52</t>
  </si>
  <si>
    <t>6.05±1.68</t>
  </si>
  <si>
    <t>5.54±1.29</t>
  </si>
  <si>
    <t>5.39±1.11</t>
  </si>
  <si>
    <t>5.32±0.49</t>
  </si>
  <si>
    <t>5.99±0.67</t>
  </si>
  <si>
    <t>5.46±1.75</t>
  </si>
  <si>
    <t>2.72±1.48</t>
  </si>
  <si>
    <t>4.18±1.00</t>
  </si>
  <si>
    <t>华美甜脆快菜</t>
  </si>
  <si>
    <t>5.49±1.12</t>
  </si>
  <si>
    <t>冬绿</t>
  </si>
  <si>
    <t>3.61±0.57</t>
  </si>
  <si>
    <t>迅雷</t>
  </si>
  <si>
    <t>5.11±1.45</t>
  </si>
  <si>
    <t>信福</t>
  </si>
  <si>
    <t>5.40±0.80</t>
  </si>
  <si>
    <t>ΔOD 重复 1</t>
  </si>
  <si>
    <t>ΔOD 重复 2</t>
  </si>
  <si>
    <t>ΔOD 重复 3</t>
  </si>
  <si>
    <t>POD 酶活 1</t>
  </si>
  <si>
    <t>POD 酶活 2</t>
  </si>
  <si>
    <t>POD 酶活 3</t>
  </si>
  <si>
    <t>抗逆等级</t>
  </si>
  <si>
    <t>30±3</t>
  </si>
  <si>
    <t>45±3</t>
  </si>
  <si>
    <r>
      <t>POD 酶活均值 ± 标准差 (U/g</t>
    </r>
    <r>
      <rPr>
        <b/>
        <sz val="11"/>
        <color theme="1"/>
        <rFont val="微软雅黑"/>
        <family val="2"/>
        <charset val="134"/>
      </rPr>
      <t>・</t>
    </r>
    <r>
      <rPr>
        <b/>
        <sz val="11"/>
        <color theme="1"/>
        <rFont val="等线"/>
        <family val="3"/>
        <charset val="134"/>
        <scheme val="minor"/>
      </rPr>
      <t>min)</t>
    </r>
    <phoneticPr fontId="1" type="noConversion"/>
  </si>
  <si>
    <t>3 次重复 CAT 活性（U/g）</t>
  </si>
  <si>
    <t>CAT 活性均值 ± 标准差（U/g）</t>
  </si>
  <si>
    <t>433.9、454.3、440.7</t>
  </si>
  <si>
    <t>442.9±10.2</t>
  </si>
  <si>
    <t>298.3、311.9、291.5</t>
  </si>
  <si>
    <t>300.6±10.2</t>
  </si>
  <si>
    <t>345.8、325.4、352.6</t>
  </si>
  <si>
    <t>341.3±13.6</t>
  </si>
  <si>
    <t>366.1、386.5、372.9</t>
  </si>
  <si>
    <t>375.2±10.2</t>
  </si>
  <si>
    <t>230.5、244.1、230.5</t>
  </si>
  <si>
    <t>235.0±7.8</t>
  </si>
  <si>
    <t>278.0、264.4、284.8</t>
  </si>
  <si>
    <t>275.7±10.2</t>
  </si>
  <si>
    <t>257.6、230.5、257.6</t>
  </si>
  <si>
    <t>248.6±14.0</t>
  </si>
  <si>
    <t>291.5、352.6、379.7</t>
  </si>
  <si>
    <t>341.3±44.1</t>
  </si>
  <si>
    <t>318.7、332.2、325.4</t>
  </si>
  <si>
    <t>325.4±6.8</t>
  </si>
  <si>
    <t>169.5、189.8、176.3</t>
  </si>
  <si>
    <t>178.5±10.2</t>
  </si>
  <si>
    <t>217.0、257.6、223.7</t>
  </si>
  <si>
    <t>232.8±20.3</t>
  </si>
  <si>
    <t>264.4、271.2、278.0</t>
  </si>
  <si>
    <t>271.2±6.8</t>
  </si>
  <si>
    <t>298.3、311.9、250.9</t>
  </si>
  <si>
    <t>287.0±30.5</t>
  </si>
  <si>
    <t>298.3、311.9、305.1</t>
  </si>
  <si>
    <t>305.1±6.8</t>
  </si>
  <si>
    <t>467.8、488.2、474.6</t>
  </si>
  <si>
    <t>476.9±10.2</t>
  </si>
  <si>
    <t>433.9、447.5、440.7</t>
  </si>
  <si>
    <t>440.7±6.8</t>
  </si>
  <si>
    <t>原表 CAT 均值（U/g）</t>
  </si>
  <si>
    <t>误差验证</t>
  </si>
  <si>
    <t>误差 &lt; 0.1</t>
  </si>
  <si>
    <t>无误差</t>
  </si>
  <si>
    <t>5春华青梗菜</t>
    <phoneticPr fontId="1" type="noConversion"/>
  </si>
  <si>
    <t>综合 D 值计算公式</t>
  </si>
  <si>
    <t>12 跃春</t>
  </si>
  <si>
    <t>1.25×0.604+0.65×0.282+0.72×0.114</t>
  </si>
  <si>
    <t>11 冬春秀绿</t>
  </si>
  <si>
    <t>1.12×0.604+0.78×0.282+0.58×0.114</t>
  </si>
  <si>
    <t>10 早熟耐抽五号</t>
  </si>
  <si>
    <t>0.9×0.604+0.42×0.282+0.5×0.114</t>
  </si>
  <si>
    <t>9 浙研黄玉</t>
  </si>
  <si>
    <t>1.15×0.604+0.25×0.282-0.85×0.114</t>
  </si>
  <si>
    <t>2.15×0.604+1.85×0.282+1.25×0.114</t>
    <phoneticPr fontId="1" type="noConversion"/>
  </si>
  <si>
    <t>15 迅雷</t>
  </si>
  <si>
    <t>1.98×0.604+1.72×0.282+1.18×0.114</t>
  </si>
  <si>
    <t>16 信福</t>
  </si>
  <si>
    <t>1.89×0.604+1.65×0.282+1.12×0.114</t>
  </si>
  <si>
    <t>3 春冠青梗菜</t>
  </si>
  <si>
    <t>0.85×0.604+1.52×0.282+0.45×0.114</t>
  </si>
  <si>
    <t>6 春蔓青梗菜</t>
  </si>
  <si>
    <t>0.78×0.604+1.45×0.282+0.38×0.114</t>
  </si>
  <si>
    <t>1 黑叶苏州青</t>
  </si>
  <si>
    <t>0.95×0.604+0.52×0.282+0.65×0.114</t>
  </si>
  <si>
    <t>7 春雷青梗菜</t>
  </si>
  <si>
    <t>1.02×0.604+0.48×0.282+0.55×0.114</t>
  </si>
  <si>
    <t>14 冬绿</t>
  </si>
  <si>
    <t>0.88×0.604+0.35×0.282+1.05×0.114</t>
  </si>
  <si>
    <t>2 好吃上海青</t>
  </si>
  <si>
    <t>4 德高青荟</t>
  </si>
  <si>
    <t>5 春华青梗菜</t>
  </si>
  <si>
    <t>13 华美甜脆快菜</t>
  </si>
  <si>
    <t>8 浙研耐抽薹菜</t>
    <phoneticPr fontId="1" type="noConversion"/>
  </si>
  <si>
    <t>14.61±1.04a</t>
  </si>
  <si>
    <t>5.11±1.45a</t>
  </si>
  <si>
    <t>20.61±0.25b</t>
  </si>
  <si>
    <t>1.46±0.04b</t>
  </si>
  <si>
    <t>75±2ab</t>
  </si>
  <si>
    <t>476.87±10.39a</t>
  </si>
  <si>
    <t>14.65±1.87a</t>
  </si>
  <si>
    <t>5.40±0.80a</t>
  </si>
  <si>
    <t>19.99±0.14b</t>
  </si>
  <si>
    <t>1.10±0.03b</t>
  </si>
  <si>
    <t>72±3ab</t>
  </si>
  <si>
    <t>440.70±6.80ab</t>
  </si>
  <si>
    <t>3.41±0.62c</t>
  </si>
  <si>
    <t>4.18±1.00a</t>
  </si>
  <si>
    <t>22.79±0.34a</t>
  </si>
  <si>
    <t>1.54±0.02b</t>
  </si>
  <si>
    <t>82±3a</t>
  </si>
  <si>
    <t>271.20±6.80de</t>
  </si>
  <si>
    <t>3.61±0.57a</t>
  </si>
  <si>
    <t>15.06±0.17d</t>
  </si>
  <si>
    <t>1.38±0.06b</t>
  </si>
  <si>
    <t>45±3d</t>
  </si>
  <si>
    <t>305.10±6.80cd</t>
  </si>
  <si>
    <t>11.74±1.52ab</t>
  </si>
  <si>
    <t>5.96±2.07a</t>
  </si>
  <si>
    <t>18.98±0.23b</t>
  </si>
  <si>
    <t>0.77±0.05c</t>
  </si>
  <si>
    <t>68±2b</t>
  </si>
  <si>
    <t>341.27±14.16c</t>
  </si>
  <si>
    <t>4.22±0.47c</t>
  </si>
  <si>
    <t>5.54±1.29a</t>
  </si>
  <si>
    <t>17.11±0.22c</t>
  </si>
  <si>
    <t>0.63±0.03c</t>
  </si>
  <si>
    <t>65±2bc</t>
  </si>
  <si>
    <t>275.73±10.39de</t>
  </si>
  <si>
    <t>12.68±1.23ab</t>
  </si>
  <si>
    <t>5.32±0.49a</t>
  </si>
  <si>
    <t>13.07±0.18de</t>
  </si>
  <si>
    <t>1.04±0.07b</t>
  </si>
  <si>
    <t>55±2c</t>
  </si>
  <si>
    <t>341.27±45.18c</t>
  </si>
  <si>
    <t>12.22±0.84ab</t>
  </si>
  <si>
    <t>2.72±1.48a</t>
  </si>
  <si>
    <t>13.34±0.22de</t>
  </si>
  <si>
    <t>1.21±0.02b</t>
  </si>
  <si>
    <t>58±2bc</t>
  </si>
  <si>
    <t>232.77±21.77ef</t>
  </si>
  <si>
    <t>12.90±1.65ab</t>
  </si>
  <si>
    <t>5.39±1.11a</t>
  </si>
  <si>
    <t>11.79±0.24e</t>
  </si>
  <si>
    <t>1.86±0.11a</t>
  </si>
  <si>
    <t>50±2cd</t>
  </si>
  <si>
    <t>248.57±15.65e</t>
  </si>
  <si>
    <t>10.32±1.01b</t>
  </si>
  <si>
    <t>7.33±0.95a</t>
  </si>
  <si>
    <t>12.32±0.37e</t>
  </si>
  <si>
    <t>1.11±0.07b</t>
  </si>
  <si>
    <t>52±3cd</t>
  </si>
  <si>
    <t>442.97±10.39ab</t>
  </si>
  <si>
    <t>10.68±2.94ab</t>
  </si>
  <si>
    <t>5.46±1.75a</t>
  </si>
  <si>
    <t>11.97±0.19e</t>
  </si>
  <si>
    <t>1.17±0.03b</t>
  </si>
  <si>
    <t>48±2cd</t>
  </si>
  <si>
    <t>178.53±10.33f</t>
  </si>
  <si>
    <t>3.39±0.41c</t>
  </si>
  <si>
    <t>5.99±0.67a</t>
  </si>
  <si>
    <t>11.06±0.17ef</t>
  </si>
  <si>
    <t>1.88±0.07a</t>
  </si>
  <si>
    <t>60±3bc</t>
  </si>
  <si>
    <t>325.43±6.75cd</t>
  </si>
  <si>
    <t>9.04±1.80bc</t>
  </si>
  <si>
    <t>6.22±1.61a</t>
  </si>
  <si>
    <t>8.24±0.32fg</t>
  </si>
  <si>
    <t>2.95±0.12a</t>
  </si>
  <si>
    <t>38±4de</t>
  </si>
  <si>
    <t>300.57±10.39cd</t>
  </si>
  <si>
    <t>11.52±2.70ab</t>
  </si>
  <si>
    <t>5.01±0.52a</t>
  </si>
  <si>
    <t>8.95±0.19f</t>
  </si>
  <si>
    <t>2.81±0.07a</t>
  </si>
  <si>
    <t>35±3e</t>
  </si>
  <si>
    <t>375.17±10.39bc</t>
  </si>
  <si>
    <t>8.64±1.96bc</t>
  </si>
  <si>
    <t>6.05±1.68a</t>
  </si>
  <si>
    <t>7.98±0.14g</t>
  </si>
  <si>
    <t>2.71±0.14a</t>
  </si>
  <si>
    <t>32±3e</t>
  </si>
  <si>
    <t>235.03±7.85ef</t>
  </si>
  <si>
    <t>4.11±0.41c</t>
  </si>
  <si>
    <t>5.49±1.12a</t>
  </si>
  <si>
    <t>7.12±0.14g</t>
  </si>
  <si>
    <t>2.52±0.03a</t>
  </si>
  <si>
    <t>30±3e</t>
  </si>
  <si>
    <t>287.03±32.02de</t>
  </si>
  <si>
    <t>华美甜脆快菜</t>
    <phoneticPr fontId="1" type="noConversion"/>
  </si>
  <si>
    <t>春雷青梗菜</t>
    <phoneticPr fontId="1" type="noConversion"/>
  </si>
  <si>
    <t>春蔓青梗菜</t>
    <phoneticPr fontId="1" type="noConversion"/>
  </si>
  <si>
    <t>春华青梗油菜</t>
    <phoneticPr fontId="1" type="noConversion"/>
  </si>
  <si>
    <t>浙研耐抽薹菜</t>
    <phoneticPr fontId="1" type="noConversion"/>
  </si>
  <si>
    <t>排序</t>
  </si>
  <si>
    <t>4.82±0.38b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</si>
</sst>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28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28"/>
      <scheme val="minor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000000"/>
      <name val="Cambria Math"/>
      <family val="1"/>
    </font>
    <font>
      <b/>
      <sz val="9"/>
      <color rgb="FF000000"/>
      <name val="等线"/>
      <family val="3"/>
      <charset val="134"/>
    </font>
    <font>
      <sz val="9"/>
      <color theme="1"/>
      <name val="等线"/>
      <family val="3"/>
      <charset val="134"/>
    </font>
    <font>
      <sz val="9"/>
      <color theme="1"/>
      <name val="Cambria Math"/>
      <family val="1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1"/>
      <name val="Cambria Math"/>
      <family val="3"/>
    </font>
    <font>
      <b/>
      <sz val="11"/>
      <color theme="1"/>
      <name val="等线"/>
      <family val="1"/>
      <scheme val="minor"/>
    </font>
    <font>
      <b/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top" wrapText="1"/>
    </xf>
    <xf numFmtId="0" fontId="7" fillId="0" borderId="0" xfId="0" applyFont="1" applyAlignment="1">
      <alignment vertical="center"/>
    </xf>
    <xf numFmtId="0" fontId="12" fillId="0" borderId="0" xfId="0" applyFont="1"/>
    <xf numFmtId="0" fontId="1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0" applyNumberForma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"/>
  <sheetViews>
    <sheetView topLeftCell="A14" zoomScaleNormal="100" workbookViewId="0">
      <selection activeCell="G26" sqref="G26:O34"/>
    </sheetView>
  </sheetViews>
  <sheetFormatPr defaultRowHeight="14.25" x14ac:dyDescent="0.2"/>
  <cols>
    <col min="1" max="1" width="11" bestFit="1" customWidth="1"/>
    <col min="2" max="2" width="15.125" bestFit="1" customWidth="1"/>
    <col min="3" max="3" width="12.875" customWidth="1"/>
    <col min="4" max="4" width="12.75" customWidth="1"/>
    <col min="6" max="6" width="15.125" bestFit="1" customWidth="1"/>
    <col min="9" max="9" width="15.125" bestFit="1" customWidth="1"/>
    <col min="12" max="12" width="15.125" bestFit="1" customWidth="1"/>
    <col min="15" max="15" width="15.125" bestFit="1" customWidth="1"/>
  </cols>
  <sheetData>
    <row r="1" spans="1:15" x14ac:dyDescent="0.2">
      <c r="A1" t="s">
        <v>0</v>
      </c>
      <c r="B1" t="s">
        <v>7</v>
      </c>
    </row>
    <row r="2" spans="1:15" x14ac:dyDescent="0.2">
      <c r="A2" t="s">
        <v>1</v>
      </c>
      <c r="B2">
        <v>0.89500000000000002</v>
      </c>
      <c r="C2" s="3">
        <v>0</v>
      </c>
    </row>
    <row r="3" spans="1:15" x14ac:dyDescent="0.2">
      <c r="A3" t="s">
        <v>2</v>
      </c>
      <c r="B3">
        <v>1.0740000000000001</v>
      </c>
      <c r="C3" s="3">
        <v>0.113</v>
      </c>
    </row>
    <row r="4" spans="1:15" x14ac:dyDescent="0.2">
      <c r="A4" t="s">
        <v>3</v>
      </c>
      <c r="B4">
        <v>1.177</v>
      </c>
      <c r="C4" s="3">
        <v>0.2175</v>
      </c>
    </row>
    <row r="5" spans="1:15" x14ac:dyDescent="0.2">
      <c r="A5" t="s">
        <v>4</v>
      </c>
      <c r="B5">
        <v>1.37</v>
      </c>
      <c r="C5" s="3">
        <v>0.3115</v>
      </c>
    </row>
    <row r="6" spans="1:15" x14ac:dyDescent="0.2">
      <c r="A6" t="s">
        <v>5</v>
      </c>
      <c r="B6">
        <v>1.4330000000000001</v>
      </c>
      <c r="C6" s="3">
        <v>0.41249999999999998</v>
      </c>
    </row>
    <row r="7" spans="1:15" x14ac:dyDescent="0.2">
      <c r="A7" t="s">
        <v>6</v>
      </c>
      <c r="B7">
        <v>1.5129999999999999</v>
      </c>
      <c r="C7" s="3">
        <v>0.46750000000000003</v>
      </c>
    </row>
    <row r="9" spans="1:15" x14ac:dyDescent="0.2">
      <c r="A9" t="s">
        <v>1</v>
      </c>
      <c r="B9" t="s">
        <v>7</v>
      </c>
      <c r="D9" t="s">
        <v>2</v>
      </c>
      <c r="E9" t="s">
        <v>3</v>
      </c>
      <c r="F9" t="s">
        <v>7</v>
      </c>
      <c r="H9" t="s">
        <v>4</v>
      </c>
      <c r="I9" t="s">
        <v>7</v>
      </c>
      <c r="K9" t="s">
        <v>5</v>
      </c>
      <c r="L9" t="s">
        <v>7</v>
      </c>
      <c r="N9" t="s">
        <v>6</v>
      </c>
      <c r="O9" t="s">
        <v>7</v>
      </c>
    </row>
    <row r="10" spans="1:15" x14ac:dyDescent="0.2">
      <c r="A10">
        <v>1</v>
      </c>
      <c r="B10">
        <v>0.28299999999999997</v>
      </c>
      <c r="D10">
        <v>1</v>
      </c>
      <c r="E10">
        <v>1</v>
      </c>
      <c r="F10">
        <v>0.28000000000000003</v>
      </c>
      <c r="H10">
        <v>1</v>
      </c>
      <c r="I10">
        <v>0.156</v>
      </c>
      <c r="K10">
        <v>1</v>
      </c>
      <c r="L10">
        <v>0.26500000000000001</v>
      </c>
      <c r="N10">
        <v>1</v>
      </c>
      <c r="O10">
        <v>0.17699999999999999</v>
      </c>
    </row>
    <row r="11" spans="1:15" x14ac:dyDescent="0.2">
      <c r="A11">
        <v>2</v>
      </c>
      <c r="B11">
        <v>0.22900000000000001</v>
      </c>
      <c r="D11">
        <v>2</v>
      </c>
      <c r="E11">
        <v>2</v>
      </c>
      <c r="F11">
        <v>0.17799999999999999</v>
      </c>
      <c r="H11">
        <v>2</v>
      </c>
      <c r="I11">
        <v>0.18</v>
      </c>
      <c r="K11">
        <v>2</v>
      </c>
      <c r="L11">
        <v>0.19800000000000001</v>
      </c>
      <c r="N11">
        <v>2</v>
      </c>
      <c r="O11">
        <v>0.16</v>
      </c>
    </row>
    <row r="12" spans="1:15" x14ac:dyDescent="0.2">
      <c r="A12">
        <v>3</v>
      </c>
      <c r="B12">
        <v>0.23300000000000001</v>
      </c>
      <c r="D12">
        <v>3</v>
      </c>
      <c r="E12">
        <v>3</v>
      </c>
      <c r="F12">
        <v>0.157</v>
      </c>
      <c r="H12">
        <v>3</v>
      </c>
      <c r="I12">
        <v>0.188</v>
      </c>
      <c r="K12">
        <v>3</v>
      </c>
      <c r="L12">
        <v>0.16</v>
      </c>
      <c r="N12">
        <v>3</v>
      </c>
      <c r="O12">
        <v>0.23799999999999999</v>
      </c>
    </row>
    <row r="14" spans="1:15" x14ac:dyDescent="0.2">
      <c r="A14" t="s">
        <v>8</v>
      </c>
      <c r="B14" t="s">
        <v>7</v>
      </c>
      <c r="D14" t="s">
        <v>9</v>
      </c>
      <c r="E14" t="s">
        <v>10</v>
      </c>
      <c r="F14" t="s">
        <v>7</v>
      </c>
      <c r="H14" t="s">
        <v>11</v>
      </c>
      <c r="I14" t="s">
        <v>7</v>
      </c>
      <c r="K14" t="s">
        <v>12</v>
      </c>
      <c r="L14" t="s">
        <v>7</v>
      </c>
      <c r="N14" t="s">
        <v>13</v>
      </c>
      <c r="O14" t="s">
        <v>7</v>
      </c>
    </row>
    <row r="15" spans="1:15" x14ac:dyDescent="0.2">
      <c r="A15">
        <v>1</v>
      </c>
      <c r="B15">
        <v>0.183</v>
      </c>
      <c r="D15">
        <v>1</v>
      </c>
      <c r="E15">
        <v>1</v>
      </c>
      <c r="F15">
        <v>0.23</v>
      </c>
      <c r="H15">
        <v>1</v>
      </c>
      <c r="I15">
        <v>0.249</v>
      </c>
      <c r="K15">
        <v>1</v>
      </c>
      <c r="L15">
        <v>9.1999999999999998E-2</v>
      </c>
      <c r="N15">
        <v>1</v>
      </c>
      <c r="O15">
        <v>0.16300000000000001</v>
      </c>
    </row>
    <row r="16" spans="1:15" x14ac:dyDescent="0.2">
      <c r="A16">
        <v>2</v>
      </c>
      <c r="B16">
        <v>0.224</v>
      </c>
      <c r="D16">
        <v>2</v>
      </c>
      <c r="E16">
        <v>2</v>
      </c>
      <c r="F16">
        <v>0.19</v>
      </c>
      <c r="H16">
        <v>2</v>
      </c>
      <c r="I16">
        <v>0.17899999999999999</v>
      </c>
      <c r="K16">
        <v>2</v>
      </c>
      <c r="L16">
        <v>0.153</v>
      </c>
      <c r="N16">
        <v>2</v>
      </c>
      <c r="O16">
        <v>0.112</v>
      </c>
    </row>
    <row r="17" spans="1:15" x14ac:dyDescent="0.2">
      <c r="A17">
        <v>3</v>
      </c>
      <c r="B17">
        <v>0.154</v>
      </c>
      <c r="D17">
        <v>3</v>
      </c>
      <c r="E17">
        <v>3</v>
      </c>
      <c r="F17">
        <v>0.19800000000000001</v>
      </c>
      <c r="H17">
        <v>3</v>
      </c>
      <c r="I17">
        <v>0.13900000000000001</v>
      </c>
      <c r="K17">
        <v>3</v>
      </c>
      <c r="L17">
        <v>6.0999999999999999E-2</v>
      </c>
      <c r="N17">
        <v>3</v>
      </c>
      <c r="O17">
        <v>0.17</v>
      </c>
    </row>
    <row r="19" spans="1:15" x14ac:dyDescent="0.2">
      <c r="A19" t="s">
        <v>14</v>
      </c>
      <c r="B19" t="s">
        <v>7</v>
      </c>
      <c r="D19" t="s">
        <v>15</v>
      </c>
      <c r="E19" t="s">
        <v>16</v>
      </c>
      <c r="F19" t="s">
        <v>7</v>
      </c>
      <c r="H19" t="s">
        <v>17</v>
      </c>
      <c r="I19" t="s">
        <v>7</v>
      </c>
    </row>
    <row r="20" spans="1:15" x14ac:dyDescent="0.2">
      <c r="A20">
        <v>1</v>
      </c>
      <c r="B20">
        <v>0.214</v>
      </c>
      <c r="D20">
        <v>1</v>
      </c>
      <c r="E20">
        <v>1</v>
      </c>
      <c r="F20">
        <v>0.23</v>
      </c>
      <c r="H20">
        <v>1</v>
      </c>
      <c r="I20">
        <v>0.216</v>
      </c>
    </row>
    <row r="21" spans="1:15" x14ac:dyDescent="0.2">
      <c r="A21">
        <v>2</v>
      </c>
      <c r="B21">
        <v>0.14899999999999999</v>
      </c>
      <c r="D21">
        <v>2</v>
      </c>
      <c r="E21">
        <v>2</v>
      </c>
      <c r="F21">
        <v>0.14299999999999999</v>
      </c>
      <c r="H21">
        <v>2</v>
      </c>
      <c r="I21">
        <v>0.17699999999999999</v>
      </c>
    </row>
    <row r="22" spans="1:15" x14ac:dyDescent="0.2">
      <c r="A22">
        <v>3</v>
      </c>
      <c r="B22">
        <v>0.20699999999999999</v>
      </c>
      <c r="D22">
        <v>3</v>
      </c>
      <c r="E22">
        <v>3</v>
      </c>
      <c r="F22">
        <v>0.161</v>
      </c>
      <c r="H22">
        <v>3</v>
      </c>
      <c r="I22">
        <v>0.16800000000000001</v>
      </c>
    </row>
    <row r="24" spans="1:15" ht="15" thickBot="1" x14ac:dyDescent="0.25"/>
    <row r="25" spans="1:15" ht="57.75" thickBot="1" x14ac:dyDescent="0.25">
      <c r="A25" s="2" t="s">
        <v>18</v>
      </c>
      <c r="B25" s="2" t="s">
        <v>231</v>
      </c>
      <c r="C25" s="2" t="s">
        <v>232</v>
      </c>
      <c r="D25" s="2" t="s">
        <v>233</v>
      </c>
      <c r="E25" s="2" t="s">
        <v>234</v>
      </c>
      <c r="F25" s="2" t="s">
        <v>26</v>
      </c>
    </row>
    <row r="26" spans="1:15" ht="15" thickBot="1" x14ac:dyDescent="0.25">
      <c r="A26" s="1">
        <v>1</v>
      </c>
      <c r="B26" s="1">
        <v>8.42</v>
      </c>
      <c r="C26" s="1">
        <v>6.72</v>
      </c>
      <c r="D26" s="1">
        <v>6.84</v>
      </c>
      <c r="E26" s="2">
        <v>7.33</v>
      </c>
      <c r="F26" s="1">
        <v>0.95</v>
      </c>
      <c r="G26" s="23" t="s">
        <v>44</v>
      </c>
      <c r="H26" s="24"/>
      <c r="I26" s="24"/>
      <c r="J26" s="24"/>
      <c r="K26" s="24"/>
      <c r="L26" s="24"/>
      <c r="M26" s="24"/>
      <c r="N26" s="24"/>
      <c r="O26" s="24"/>
    </row>
    <row r="27" spans="1:15" ht="15" thickBot="1" x14ac:dyDescent="0.25">
      <c r="A27" s="1">
        <v>2</v>
      </c>
      <c r="B27" s="1">
        <v>8.0399999999999991</v>
      </c>
      <c r="C27" s="1">
        <v>5.65</v>
      </c>
      <c r="D27" s="1">
        <v>4.99</v>
      </c>
      <c r="E27" s="2">
        <v>6.22</v>
      </c>
      <c r="F27" s="1">
        <v>1.61</v>
      </c>
      <c r="G27" s="25"/>
      <c r="H27" s="24"/>
      <c r="I27" s="24"/>
      <c r="J27" s="24"/>
      <c r="K27" s="24"/>
      <c r="L27" s="24"/>
      <c r="M27" s="24"/>
      <c r="N27" s="24"/>
      <c r="O27" s="24"/>
    </row>
    <row r="28" spans="1:15" ht="15" thickBot="1" x14ac:dyDescent="0.25">
      <c r="A28" s="1">
        <v>3</v>
      </c>
      <c r="B28" s="1">
        <v>8.33</v>
      </c>
      <c r="C28" s="1">
        <v>5.1100000000000003</v>
      </c>
      <c r="D28" s="1">
        <v>4.45</v>
      </c>
      <c r="E28" s="2">
        <v>5.96</v>
      </c>
      <c r="F28" s="1">
        <v>2.0699999999999998</v>
      </c>
      <c r="G28" s="25"/>
      <c r="H28" s="24"/>
      <c r="I28" s="24"/>
      <c r="J28" s="24"/>
      <c r="K28" s="24"/>
      <c r="L28" s="24"/>
      <c r="M28" s="24"/>
      <c r="N28" s="24"/>
      <c r="O28" s="24"/>
    </row>
    <row r="29" spans="1:15" ht="15" thickBot="1" x14ac:dyDescent="0.25">
      <c r="A29" s="1">
        <v>4</v>
      </c>
      <c r="B29" s="1">
        <v>4.42</v>
      </c>
      <c r="C29" s="1">
        <v>5.17</v>
      </c>
      <c r="D29" s="1">
        <v>5.43</v>
      </c>
      <c r="E29" s="2">
        <v>5.01</v>
      </c>
      <c r="F29" s="1">
        <v>0.52</v>
      </c>
      <c r="G29" s="25"/>
      <c r="H29" s="24"/>
      <c r="I29" s="24"/>
      <c r="J29" s="24"/>
      <c r="K29" s="24"/>
      <c r="L29" s="24"/>
      <c r="M29" s="24"/>
      <c r="N29" s="24"/>
      <c r="O29" s="24"/>
    </row>
    <row r="30" spans="1:15" ht="15" thickBot="1" x14ac:dyDescent="0.25">
      <c r="A30" s="1">
        <v>5</v>
      </c>
      <c r="B30" s="1">
        <v>7.85</v>
      </c>
      <c r="C30" s="1">
        <v>5.74</v>
      </c>
      <c r="D30" s="1">
        <v>4.54</v>
      </c>
      <c r="E30" s="2">
        <v>6.05</v>
      </c>
      <c r="F30" s="1">
        <v>1.68</v>
      </c>
      <c r="G30" s="25"/>
      <c r="H30" s="24"/>
      <c r="I30" s="24"/>
      <c r="J30" s="24"/>
      <c r="K30" s="24"/>
      <c r="L30" s="24"/>
      <c r="M30" s="24"/>
      <c r="N30" s="24"/>
      <c r="O30" s="24"/>
    </row>
    <row r="31" spans="1:15" ht="15" thickBot="1" x14ac:dyDescent="0.25">
      <c r="A31" s="1">
        <v>6</v>
      </c>
      <c r="B31" s="1">
        <v>5.08</v>
      </c>
      <c r="C31" s="1">
        <v>4.54</v>
      </c>
      <c r="D31" s="1">
        <v>7</v>
      </c>
      <c r="E31" s="2">
        <v>5.54</v>
      </c>
      <c r="F31" s="1">
        <v>1.29</v>
      </c>
      <c r="G31" s="25"/>
      <c r="H31" s="24"/>
      <c r="I31" s="24"/>
      <c r="J31" s="24"/>
      <c r="K31" s="24"/>
      <c r="L31" s="24"/>
      <c r="M31" s="24"/>
      <c r="N31" s="24"/>
      <c r="O31" s="24"/>
    </row>
    <row r="32" spans="1:15" ht="15" thickBot="1" x14ac:dyDescent="0.25">
      <c r="A32" s="1">
        <v>7</v>
      </c>
      <c r="B32" s="1">
        <v>5.27</v>
      </c>
      <c r="C32" s="1">
        <v>6.56</v>
      </c>
      <c r="D32" s="1">
        <v>4.3600000000000003</v>
      </c>
      <c r="E32" s="2">
        <v>5.39</v>
      </c>
      <c r="F32" s="1">
        <v>1.1100000000000001</v>
      </c>
      <c r="G32" s="25"/>
      <c r="H32" s="24"/>
      <c r="I32" s="24"/>
      <c r="J32" s="24"/>
      <c r="K32" s="24"/>
      <c r="L32" s="24"/>
      <c r="M32" s="24"/>
      <c r="N32" s="24"/>
      <c r="O32" s="24"/>
    </row>
    <row r="33" spans="1:15" ht="15" thickBot="1" x14ac:dyDescent="0.25">
      <c r="A33" s="1">
        <v>8</v>
      </c>
      <c r="B33" s="1">
        <v>5.17</v>
      </c>
      <c r="C33" s="1">
        <v>5.87</v>
      </c>
      <c r="D33" s="1">
        <v>4.92</v>
      </c>
      <c r="E33" s="2">
        <v>5.32</v>
      </c>
      <c r="F33" s="1">
        <v>0.49</v>
      </c>
      <c r="G33" s="25"/>
      <c r="H33" s="24"/>
      <c r="I33" s="24"/>
      <c r="J33" s="24"/>
      <c r="K33" s="24"/>
      <c r="L33" s="24"/>
      <c r="M33" s="24"/>
      <c r="N33" s="24"/>
      <c r="O33" s="24"/>
    </row>
    <row r="34" spans="1:15" ht="15" thickBot="1" x14ac:dyDescent="0.25">
      <c r="A34" s="1">
        <v>9</v>
      </c>
      <c r="B34" s="1">
        <v>6.75</v>
      </c>
      <c r="C34" s="1">
        <v>5.49</v>
      </c>
      <c r="D34" s="1">
        <v>5.74</v>
      </c>
      <c r="E34" s="2">
        <v>5.99</v>
      </c>
      <c r="F34" s="1">
        <v>0.67</v>
      </c>
      <c r="G34" s="25"/>
      <c r="H34" s="24"/>
      <c r="I34" s="24"/>
      <c r="J34" s="24"/>
      <c r="K34" s="24"/>
      <c r="L34" s="24"/>
      <c r="M34" s="24"/>
      <c r="N34" s="24"/>
      <c r="O34" s="24"/>
    </row>
    <row r="35" spans="1:15" ht="15" thickBot="1" x14ac:dyDescent="0.25">
      <c r="A35" s="1">
        <v>10</v>
      </c>
      <c r="B35" s="1">
        <v>7.35</v>
      </c>
      <c r="C35" s="1">
        <v>5.14</v>
      </c>
      <c r="D35" s="1">
        <v>3.88</v>
      </c>
      <c r="E35" s="2">
        <v>5.46</v>
      </c>
      <c r="F35" s="1">
        <v>1.75</v>
      </c>
    </row>
    <row r="36" spans="1:15" ht="15" thickBot="1" x14ac:dyDescent="0.25">
      <c r="A36" s="1">
        <v>11</v>
      </c>
      <c r="B36" s="1">
        <v>2.4</v>
      </c>
      <c r="C36" s="1">
        <v>4.32</v>
      </c>
      <c r="D36" s="1">
        <v>1.42</v>
      </c>
      <c r="E36" s="2">
        <v>2.72</v>
      </c>
      <c r="F36" s="1">
        <v>1.48</v>
      </c>
    </row>
    <row r="37" spans="1:15" ht="15" thickBot="1" x14ac:dyDescent="0.25">
      <c r="A37" s="1">
        <v>12</v>
      </c>
      <c r="B37" s="1">
        <v>4.6399999999999997</v>
      </c>
      <c r="C37" s="1">
        <v>3.03</v>
      </c>
      <c r="D37" s="1">
        <v>4.8600000000000003</v>
      </c>
      <c r="E37" s="2">
        <v>4.18</v>
      </c>
      <c r="F37" s="1">
        <v>1</v>
      </c>
    </row>
    <row r="38" spans="1:15" ht="15" thickBot="1" x14ac:dyDescent="0.25">
      <c r="A38" s="1">
        <v>13</v>
      </c>
      <c r="B38" s="1">
        <v>6.25</v>
      </c>
      <c r="C38" s="1">
        <v>4.2</v>
      </c>
      <c r="D38" s="1">
        <v>6.03</v>
      </c>
      <c r="E38" s="2">
        <v>5.49</v>
      </c>
      <c r="F38" s="1">
        <v>1.1200000000000001</v>
      </c>
    </row>
    <row r="39" spans="1:15" ht="15" thickBot="1" x14ac:dyDescent="0.25">
      <c r="A39" s="1">
        <v>14</v>
      </c>
      <c r="B39" s="1">
        <v>4.13</v>
      </c>
      <c r="C39" s="1">
        <v>3</v>
      </c>
      <c r="D39" s="1">
        <v>3.69</v>
      </c>
      <c r="E39" s="2">
        <v>3.61</v>
      </c>
      <c r="F39" s="1">
        <v>0.56999999999999995</v>
      </c>
    </row>
    <row r="40" spans="1:15" ht="15" thickBot="1" x14ac:dyDescent="0.25">
      <c r="A40" s="1">
        <v>15</v>
      </c>
      <c r="B40" s="1">
        <v>6.75</v>
      </c>
      <c r="C40" s="1">
        <v>4.01</v>
      </c>
      <c r="D40" s="1">
        <v>4.58</v>
      </c>
      <c r="E40" s="2">
        <v>5.1100000000000003</v>
      </c>
      <c r="F40" s="1">
        <v>1.45</v>
      </c>
    </row>
    <row r="41" spans="1:15" ht="15" thickBot="1" x14ac:dyDescent="0.25">
      <c r="A41" s="1">
        <v>16</v>
      </c>
      <c r="B41" s="1">
        <v>6.31</v>
      </c>
      <c r="C41" s="1">
        <v>5.08</v>
      </c>
      <c r="D41" s="1">
        <v>4.8</v>
      </c>
      <c r="E41" s="2">
        <v>5.4</v>
      </c>
      <c r="F41" s="1">
        <v>0.8</v>
      </c>
    </row>
  </sheetData>
  <mergeCells count="1">
    <mergeCell ref="G26:O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B66A-A9C9-4FE6-A2E4-9E3052850085}">
  <dimension ref="A1:R71"/>
  <sheetViews>
    <sheetView topLeftCell="A10" workbookViewId="0">
      <selection activeCell="J29" sqref="J29"/>
    </sheetView>
  </sheetViews>
  <sheetFormatPr defaultRowHeight="14.25" x14ac:dyDescent="0.2"/>
  <cols>
    <col min="2" max="2" width="15.125" bestFit="1" customWidth="1"/>
    <col min="3" max="3" width="12.75" bestFit="1" customWidth="1"/>
    <col min="5" max="5" width="15.125" bestFit="1" customWidth="1"/>
    <col min="6" max="6" width="12.75" bestFit="1" customWidth="1"/>
    <col min="7" max="7" width="15.125" bestFit="1" customWidth="1"/>
    <col min="18" max="18" width="78" bestFit="1" customWidth="1"/>
  </cols>
  <sheetData>
    <row r="1" spans="1:16" x14ac:dyDescent="0.2">
      <c r="A1" t="s">
        <v>19</v>
      </c>
    </row>
    <row r="2" spans="1:16" x14ac:dyDescent="0.2">
      <c r="A2" s="4" t="s">
        <v>20</v>
      </c>
      <c r="B2" s="3">
        <v>0</v>
      </c>
      <c r="C2" s="3">
        <v>1</v>
      </c>
      <c r="D2" s="3">
        <v>2</v>
      </c>
      <c r="E2" s="3">
        <v>3</v>
      </c>
      <c r="F2" s="3">
        <v>4</v>
      </c>
    </row>
    <row r="3" spans="1:16" x14ac:dyDescent="0.2">
      <c r="A3" s="3"/>
      <c r="B3" s="3">
        <v>0</v>
      </c>
      <c r="C3" s="3">
        <v>0.14699999999999999</v>
      </c>
      <c r="D3" s="3">
        <v>0.35299999999999998</v>
      </c>
      <c r="E3" s="3">
        <v>0.56399999999999995</v>
      </c>
      <c r="F3" s="3">
        <v>0.76500000000000001</v>
      </c>
    </row>
    <row r="4" spans="1:16" x14ac:dyDescent="0.2">
      <c r="A4" s="3"/>
      <c r="B4" s="3">
        <v>0</v>
      </c>
      <c r="C4" s="3">
        <v>0.15</v>
      </c>
      <c r="D4" s="3">
        <v>0.35799999999999998</v>
      </c>
      <c r="E4" s="3">
        <v>0.56799999999999995</v>
      </c>
      <c r="F4" s="3">
        <v>0.76800000000000002</v>
      </c>
    </row>
    <row r="5" spans="1:16" x14ac:dyDescent="0.2">
      <c r="A5" s="3"/>
      <c r="B5" s="3">
        <v>0</v>
      </c>
      <c r="C5" s="3">
        <v>0.14299999999999999</v>
      </c>
      <c r="D5" s="3">
        <v>0.35699999999999998</v>
      </c>
      <c r="E5" s="3">
        <v>0.56100000000000005</v>
      </c>
      <c r="F5" s="3">
        <v>0.76600000000000001</v>
      </c>
    </row>
    <row r="6" spans="1:16" x14ac:dyDescent="0.2">
      <c r="A6" s="3"/>
      <c r="B6" s="3"/>
      <c r="C6" s="3"/>
      <c r="D6" s="3"/>
      <c r="E6" s="3"/>
      <c r="F6" s="3"/>
    </row>
    <row r="7" spans="1:16" x14ac:dyDescent="0.2">
      <c r="A7" s="4" t="s">
        <v>20</v>
      </c>
      <c r="B7" s="3">
        <v>0</v>
      </c>
      <c r="C7" s="3">
        <v>1</v>
      </c>
      <c r="D7" s="3">
        <v>2</v>
      </c>
      <c r="E7" s="3">
        <v>3</v>
      </c>
      <c r="F7" s="3">
        <v>4</v>
      </c>
    </row>
    <row r="8" spans="1:16" x14ac:dyDescent="0.2">
      <c r="A8" s="4" t="s">
        <v>21</v>
      </c>
      <c r="B8" s="3">
        <f t="shared" ref="B8:F8" si="0">AVERAGE(B3:B5)</f>
        <v>0</v>
      </c>
      <c r="C8" s="3">
        <f t="shared" si="0"/>
        <v>0.14666666666666664</v>
      </c>
      <c r="D8" s="3">
        <f t="shared" si="0"/>
        <v>0.35600000000000004</v>
      </c>
      <c r="E8" s="3">
        <f t="shared" si="0"/>
        <v>0.56433333333333335</v>
      </c>
      <c r="F8" s="3">
        <f t="shared" si="0"/>
        <v>0.76633333333333331</v>
      </c>
    </row>
    <row r="10" spans="1:16" x14ac:dyDescent="0.2">
      <c r="A10" t="s">
        <v>1</v>
      </c>
      <c r="B10" t="s">
        <v>24</v>
      </c>
      <c r="D10" t="s">
        <v>2</v>
      </c>
      <c r="E10" t="s">
        <v>23</v>
      </c>
      <c r="G10" t="s">
        <v>23</v>
      </c>
      <c r="I10" t="s">
        <v>4</v>
      </c>
      <c r="J10" t="s">
        <v>23</v>
      </c>
      <c r="L10" t="s">
        <v>5</v>
      </c>
      <c r="M10" t="s">
        <v>23</v>
      </c>
      <c r="O10" t="s">
        <v>6</v>
      </c>
      <c r="P10" t="s">
        <v>23</v>
      </c>
    </row>
    <row r="11" spans="1:16" x14ac:dyDescent="0.2">
      <c r="A11">
        <v>1</v>
      </c>
      <c r="B11">
        <v>0.59799999999999998</v>
      </c>
      <c r="D11">
        <v>1</v>
      </c>
      <c r="E11">
        <v>0.48699999999999999</v>
      </c>
      <c r="G11">
        <v>0.754</v>
      </c>
      <c r="I11">
        <v>1</v>
      </c>
      <c r="J11">
        <v>0.84399999999999997</v>
      </c>
      <c r="L11">
        <v>1</v>
      </c>
      <c r="M11">
        <v>0.45900000000000002</v>
      </c>
      <c r="O11">
        <v>1</v>
      </c>
      <c r="P11">
        <v>0.33100000000000002</v>
      </c>
    </row>
    <row r="12" spans="1:16" x14ac:dyDescent="0.2">
      <c r="A12">
        <v>2</v>
      </c>
      <c r="B12">
        <v>0.69499999999999995</v>
      </c>
      <c r="D12">
        <v>2</v>
      </c>
      <c r="E12">
        <v>0.64200000000000002</v>
      </c>
      <c r="G12">
        <v>0.77</v>
      </c>
      <c r="I12">
        <v>2</v>
      </c>
      <c r="J12">
        <v>0.58099999999999996</v>
      </c>
      <c r="L12">
        <v>2</v>
      </c>
      <c r="M12">
        <v>0.61699999999999999</v>
      </c>
      <c r="O12">
        <v>2</v>
      </c>
      <c r="P12">
        <v>0.377</v>
      </c>
    </row>
    <row r="13" spans="1:16" x14ac:dyDescent="0.2">
      <c r="A13">
        <v>3</v>
      </c>
      <c r="B13">
        <v>0.56899999999999995</v>
      </c>
      <c r="D13">
        <v>3</v>
      </c>
      <c r="E13">
        <v>0.65600000000000003</v>
      </c>
      <c r="G13">
        <v>0.63500000000000001</v>
      </c>
      <c r="I13">
        <v>3</v>
      </c>
      <c r="J13">
        <v>0.70199999999999996</v>
      </c>
      <c r="L13">
        <v>3</v>
      </c>
      <c r="M13">
        <v>0.63100000000000001</v>
      </c>
      <c r="O13">
        <v>3</v>
      </c>
      <c r="P13">
        <v>0.35199999999999998</v>
      </c>
    </row>
    <row r="15" spans="1:16" x14ac:dyDescent="0.2">
      <c r="A15" t="s">
        <v>8</v>
      </c>
      <c r="B15" t="s">
        <v>23</v>
      </c>
      <c r="D15" t="s">
        <v>9</v>
      </c>
      <c r="E15" t="s">
        <v>23</v>
      </c>
      <c r="G15" t="s">
        <v>23</v>
      </c>
      <c r="I15" t="s">
        <v>11</v>
      </c>
      <c r="J15" t="s">
        <v>23</v>
      </c>
      <c r="L15" t="s">
        <v>12</v>
      </c>
      <c r="M15" s="5" t="s">
        <v>23</v>
      </c>
      <c r="O15" t="s">
        <v>13</v>
      </c>
      <c r="P15" t="s">
        <v>23</v>
      </c>
    </row>
    <row r="16" spans="1:16" x14ac:dyDescent="0.2">
      <c r="A16">
        <v>1</v>
      </c>
      <c r="B16">
        <v>0.86299999999999999</v>
      </c>
      <c r="D16">
        <v>1</v>
      </c>
      <c r="E16">
        <v>0.754</v>
      </c>
      <c r="G16">
        <v>0.32500000000000001</v>
      </c>
      <c r="I16">
        <v>1</v>
      </c>
      <c r="J16">
        <v>0.79400000000000004</v>
      </c>
      <c r="L16">
        <v>1</v>
      </c>
      <c r="M16" s="7" t="s">
        <v>25</v>
      </c>
      <c r="O16">
        <v>1</v>
      </c>
      <c r="P16">
        <v>0.33900000000000002</v>
      </c>
    </row>
    <row r="17" spans="1:18" x14ac:dyDescent="0.2">
      <c r="A17">
        <v>2</v>
      </c>
      <c r="B17">
        <v>0.76100000000000001</v>
      </c>
      <c r="D17">
        <v>2</v>
      </c>
      <c r="E17">
        <v>0.83</v>
      </c>
      <c r="G17">
        <v>0.32200000000000001</v>
      </c>
      <c r="I17">
        <v>2</v>
      </c>
      <c r="J17">
        <v>0.51200000000000001</v>
      </c>
      <c r="L17">
        <v>2</v>
      </c>
      <c r="M17">
        <v>0.754</v>
      </c>
      <c r="O17">
        <v>2</v>
      </c>
      <c r="P17">
        <v>0.28000000000000003</v>
      </c>
    </row>
    <row r="18" spans="1:18" x14ac:dyDescent="0.2">
      <c r="A18">
        <v>3</v>
      </c>
      <c r="B18">
        <v>0.70499999999999996</v>
      </c>
      <c r="D18">
        <v>3</v>
      </c>
      <c r="E18">
        <v>0.71199999999999997</v>
      </c>
      <c r="G18">
        <v>0.28899999999999998</v>
      </c>
      <c r="I18">
        <v>3</v>
      </c>
      <c r="J18">
        <v>0.69799999999999995</v>
      </c>
      <c r="L18">
        <v>3</v>
      </c>
      <c r="M18">
        <v>0.69799999999999995</v>
      </c>
      <c r="O18">
        <v>3</v>
      </c>
      <c r="P18">
        <v>0.32</v>
      </c>
    </row>
    <row r="20" spans="1:18" x14ac:dyDescent="0.2">
      <c r="A20" t="s">
        <v>14</v>
      </c>
      <c r="B20" t="s">
        <v>23</v>
      </c>
      <c r="D20" t="s">
        <v>15</v>
      </c>
      <c r="E20" t="s">
        <v>23</v>
      </c>
      <c r="G20" t="s">
        <v>23</v>
      </c>
      <c r="I20" t="s">
        <v>17</v>
      </c>
      <c r="J20" t="s">
        <v>23</v>
      </c>
    </row>
    <row r="21" spans="1:18" x14ac:dyDescent="0.2">
      <c r="A21">
        <v>1</v>
      </c>
      <c r="B21">
        <v>0.35</v>
      </c>
      <c r="D21">
        <v>1</v>
      </c>
      <c r="E21">
        <v>0.66100000000000003</v>
      </c>
      <c r="G21">
        <v>0.82399999999999995</v>
      </c>
      <c r="I21">
        <v>1</v>
      </c>
      <c r="J21">
        <v>0.88800000000000001</v>
      </c>
    </row>
    <row r="22" spans="1:18" x14ac:dyDescent="0.2">
      <c r="A22">
        <v>2</v>
      </c>
      <c r="B22">
        <v>0.36699999999999999</v>
      </c>
      <c r="D22">
        <v>2</v>
      </c>
      <c r="E22">
        <v>0.76</v>
      </c>
      <c r="G22">
        <v>0.92800000000000005</v>
      </c>
      <c r="I22">
        <v>2</v>
      </c>
      <c r="J22">
        <v>0.91700000000000004</v>
      </c>
    </row>
    <row r="23" spans="1:18" x14ac:dyDescent="0.2">
      <c r="A23">
        <v>3</v>
      </c>
      <c r="B23">
        <v>0.27200000000000002</v>
      </c>
      <c r="D23">
        <v>3</v>
      </c>
      <c r="E23">
        <v>0.54600000000000004</v>
      </c>
      <c r="G23">
        <v>0.93600000000000005</v>
      </c>
      <c r="I23">
        <v>3</v>
      </c>
      <c r="J23">
        <v>0.83499999999999996</v>
      </c>
    </row>
    <row r="24" spans="1:18" ht="15" thickBot="1" x14ac:dyDescent="0.25"/>
    <row r="25" spans="1:18" ht="29.25" thickBot="1" x14ac:dyDescent="0.25">
      <c r="A25" s="2" t="s">
        <v>79</v>
      </c>
      <c r="B25" s="2" t="s">
        <v>259</v>
      </c>
      <c r="C25" s="2" t="s">
        <v>260</v>
      </c>
      <c r="D25" s="2" t="s">
        <v>261</v>
      </c>
      <c r="E25" s="2" t="s">
        <v>262</v>
      </c>
      <c r="F25" s="2" t="s">
        <v>26</v>
      </c>
      <c r="G25" s="2" t="s">
        <v>27</v>
      </c>
    </row>
    <row r="26" spans="1:18" ht="15" thickBot="1" x14ac:dyDescent="0.25">
      <c r="A26" s="1">
        <v>1</v>
      </c>
      <c r="B26" s="1">
        <v>9.51</v>
      </c>
      <c r="C26" s="1">
        <v>11.56</v>
      </c>
      <c r="D26" s="1">
        <v>10.89</v>
      </c>
      <c r="E26" s="1" t="s">
        <v>263</v>
      </c>
      <c r="F26" s="1">
        <v>4.9000000000000002E-2</v>
      </c>
      <c r="G26" s="2">
        <v>10.33</v>
      </c>
    </row>
    <row r="27" spans="1:18" ht="15" thickBot="1" x14ac:dyDescent="0.25">
      <c r="A27" s="1">
        <v>2</v>
      </c>
      <c r="B27" s="1">
        <v>7.26</v>
      </c>
      <c r="C27" s="1">
        <v>10.54</v>
      </c>
      <c r="D27" s="1">
        <v>10.4</v>
      </c>
      <c r="E27" s="1" t="s">
        <v>264</v>
      </c>
      <c r="F27" s="1">
        <v>8.3000000000000004E-2</v>
      </c>
      <c r="G27" s="2">
        <v>9.0399999999999991</v>
      </c>
      <c r="R27" s="8"/>
    </row>
    <row r="28" spans="1:18" ht="15" thickBot="1" x14ac:dyDescent="0.25">
      <c r="A28" s="1">
        <v>3</v>
      </c>
      <c r="B28" s="1">
        <v>12.65</v>
      </c>
      <c r="C28" s="1">
        <v>12.96</v>
      </c>
      <c r="D28" s="1">
        <v>10.4</v>
      </c>
      <c r="E28" s="1" t="s">
        <v>265</v>
      </c>
      <c r="F28" s="1">
        <v>6.9000000000000006E-2</v>
      </c>
      <c r="G28" s="2">
        <v>11.75</v>
      </c>
      <c r="R28" s="6"/>
    </row>
    <row r="29" spans="1:18" ht="15" thickBot="1" x14ac:dyDescent="0.25">
      <c r="A29" s="1">
        <v>4</v>
      </c>
      <c r="B29" s="1">
        <v>14.39</v>
      </c>
      <c r="C29" s="1">
        <v>9.11</v>
      </c>
      <c r="D29" s="1">
        <v>11.7</v>
      </c>
      <c r="E29" s="1" t="s">
        <v>266</v>
      </c>
      <c r="F29" s="1">
        <v>0.107</v>
      </c>
      <c r="G29" s="2">
        <v>11.53</v>
      </c>
    </row>
    <row r="30" spans="1:18" ht="15" thickBot="1" x14ac:dyDescent="0.25">
      <c r="A30" s="1">
        <v>5</v>
      </c>
      <c r="B30" s="1">
        <v>6.71</v>
      </c>
      <c r="C30" s="1">
        <v>10.050000000000001</v>
      </c>
      <c r="D30" s="1">
        <v>10.32</v>
      </c>
      <c r="E30" s="1" t="s">
        <v>267</v>
      </c>
      <c r="F30" s="1">
        <v>8.8999999999999996E-2</v>
      </c>
      <c r="G30" s="2">
        <v>8.65</v>
      </c>
    </row>
    <row r="31" spans="1:18" ht="15" thickBot="1" x14ac:dyDescent="0.25">
      <c r="A31" s="1">
        <v>6</v>
      </c>
      <c r="B31" s="1">
        <v>4.01</v>
      </c>
      <c r="C31" s="1">
        <v>4.9000000000000004</v>
      </c>
      <c r="D31" s="1">
        <v>4.43</v>
      </c>
      <c r="E31" s="1" t="s">
        <v>268</v>
      </c>
      <c r="F31" s="1">
        <v>2.3E-2</v>
      </c>
      <c r="G31" s="2">
        <v>4.22</v>
      </c>
    </row>
    <row r="32" spans="1:18" ht="15" thickBot="1" x14ac:dyDescent="0.25">
      <c r="A32" s="1">
        <v>7</v>
      </c>
      <c r="B32" s="1">
        <v>14.76</v>
      </c>
      <c r="C32" s="1">
        <v>12.79</v>
      </c>
      <c r="D32" s="1">
        <v>11.76</v>
      </c>
      <c r="E32" s="1" t="s">
        <v>269</v>
      </c>
      <c r="F32" s="1">
        <v>8.1000000000000003E-2</v>
      </c>
      <c r="G32" s="2">
        <v>12.9</v>
      </c>
    </row>
    <row r="33" spans="1:16" ht="15" thickBot="1" x14ac:dyDescent="0.25">
      <c r="A33" s="1">
        <v>8</v>
      </c>
      <c r="B33" s="1">
        <v>12.65</v>
      </c>
      <c r="C33" s="1">
        <v>14.12</v>
      </c>
      <c r="D33" s="1">
        <v>11.9</v>
      </c>
      <c r="E33" s="1" t="s">
        <v>270</v>
      </c>
      <c r="F33" s="1">
        <v>0.06</v>
      </c>
      <c r="G33" s="2">
        <v>12.68</v>
      </c>
    </row>
    <row r="34" spans="1:16" ht="15" thickBot="1" x14ac:dyDescent="0.25">
      <c r="A34" s="1">
        <v>9</v>
      </c>
      <c r="B34" s="1">
        <v>3.89</v>
      </c>
      <c r="C34" s="1">
        <v>3.83</v>
      </c>
      <c r="D34" s="1">
        <v>3.17</v>
      </c>
      <c r="E34" s="1" t="s">
        <v>271</v>
      </c>
      <c r="F34" s="1">
        <v>1.9E-2</v>
      </c>
      <c r="G34" s="2">
        <v>3.39</v>
      </c>
    </row>
    <row r="35" spans="1:16" ht="15" thickBot="1" x14ac:dyDescent="0.25">
      <c r="A35" s="1">
        <v>10</v>
      </c>
      <c r="B35" s="1">
        <v>13.42</v>
      </c>
      <c r="C35" s="1">
        <v>8</v>
      </c>
      <c r="D35" s="1">
        <v>11.62</v>
      </c>
      <c r="E35" s="1" t="s">
        <v>272</v>
      </c>
      <c r="F35" s="1">
        <v>0.14699999999999999</v>
      </c>
      <c r="G35" s="2">
        <v>10.68</v>
      </c>
    </row>
    <row r="36" spans="1:16" ht="15" thickBot="1" x14ac:dyDescent="0.25">
      <c r="A36" s="1">
        <v>11</v>
      </c>
      <c r="B36" s="1">
        <v>13.1</v>
      </c>
      <c r="C36" s="1">
        <v>12.65</v>
      </c>
      <c r="D36" s="1">
        <v>11.62</v>
      </c>
      <c r="E36" s="1" t="s">
        <v>273</v>
      </c>
      <c r="F36" s="1">
        <v>0.04</v>
      </c>
      <c r="G36" s="2">
        <v>12.22</v>
      </c>
    </row>
    <row r="37" spans="1:16" ht="15" thickBot="1" x14ac:dyDescent="0.25">
      <c r="A37" s="1">
        <v>12</v>
      </c>
      <c r="B37" s="1">
        <v>4.17</v>
      </c>
      <c r="C37" s="1">
        <v>3</v>
      </c>
      <c r="D37" s="1">
        <v>3.79</v>
      </c>
      <c r="E37" s="1" t="s">
        <v>274</v>
      </c>
      <c r="F37" s="1">
        <v>0.03</v>
      </c>
      <c r="G37" s="2">
        <v>3.41</v>
      </c>
    </row>
    <row r="38" spans="1:16" ht="15" thickBot="1" x14ac:dyDescent="0.25">
      <c r="A38" s="1">
        <v>13</v>
      </c>
      <c r="B38" s="1">
        <v>4.3899999999999997</v>
      </c>
      <c r="C38" s="1">
        <v>4.72</v>
      </c>
      <c r="D38" s="1">
        <v>3.96</v>
      </c>
      <c r="E38" s="1" t="s">
        <v>275</v>
      </c>
      <c r="F38" s="1">
        <v>0.02</v>
      </c>
      <c r="G38" s="2">
        <v>4.1100000000000003</v>
      </c>
    </row>
    <row r="39" spans="1:16" ht="15" thickBot="1" x14ac:dyDescent="0.25">
      <c r="A39" s="1">
        <v>14</v>
      </c>
      <c r="B39" s="1">
        <v>15.25</v>
      </c>
      <c r="C39" s="1">
        <v>12.77</v>
      </c>
      <c r="D39" s="1">
        <v>16.190000000000001</v>
      </c>
      <c r="E39" s="1" t="s">
        <v>276</v>
      </c>
      <c r="F39" s="1">
        <v>8.8999999999999996E-2</v>
      </c>
      <c r="G39" s="2">
        <v>14.65</v>
      </c>
    </row>
    <row r="40" spans="1:16" ht="15" thickBot="1" x14ac:dyDescent="0.25">
      <c r="A40" s="1">
        <v>15</v>
      </c>
      <c r="B40" s="1">
        <v>13.99</v>
      </c>
      <c r="C40" s="1">
        <v>15.82</v>
      </c>
      <c r="D40" s="1">
        <v>14.2</v>
      </c>
      <c r="E40" s="1" t="s">
        <v>277</v>
      </c>
      <c r="F40" s="1">
        <v>0.05</v>
      </c>
      <c r="G40" s="2">
        <v>14.61</v>
      </c>
    </row>
    <row r="41" spans="1:16" ht="15" thickBot="1" x14ac:dyDescent="0.25">
      <c r="A41" s="1">
        <v>16</v>
      </c>
      <c r="B41" s="1">
        <v>15.25</v>
      </c>
      <c r="C41" s="1">
        <v>12.77</v>
      </c>
      <c r="D41" s="1">
        <v>16.190000000000001</v>
      </c>
      <c r="E41" s="1" t="s">
        <v>276</v>
      </c>
      <c r="F41" s="1">
        <v>8.8999999999999996E-2</v>
      </c>
      <c r="G41" s="2">
        <v>14.65</v>
      </c>
    </row>
    <row r="47" spans="1:16" x14ac:dyDescent="0.2">
      <c r="A47" s="26" t="s">
        <v>45</v>
      </c>
      <c r="B47" s="27"/>
      <c r="C47" s="27"/>
      <c r="D47" s="27"/>
      <c r="E47" s="27"/>
      <c r="F47" s="27"/>
      <c r="G47" s="27"/>
      <c r="J47" s="28" t="s">
        <v>43</v>
      </c>
      <c r="K47" s="29"/>
      <c r="L47" s="29"/>
      <c r="M47" s="29"/>
      <c r="N47" s="29"/>
      <c r="O47" s="29"/>
      <c r="P47" s="29"/>
    </row>
    <row r="48" spans="1:16" x14ac:dyDescent="0.2">
      <c r="A48" s="27"/>
      <c r="B48" s="27"/>
      <c r="C48" s="27"/>
      <c r="D48" s="27"/>
      <c r="E48" s="27"/>
      <c r="F48" s="27"/>
      <c r="G48" s="27"/>
      <c r="J48" s="29"/>
      <c r="K48" s="29"/>
      <c r="L48" s="29"/>
      <c r="M48" s="29"/>
      <c r="N48" s="29"/>
      <c r="O48" s="29"/>
      <c r="P48" s="29"/>
    </row>
    <row r="49" spans="1:16" x14ac:dyDescent="0.2">
      <c r="A49" s="27"/>
      <c r="B49" s="27"/>
      <c r="C49" s="27"/>
      <c r="D49" s="27"/>
      <c r="E49" s="27"/>
      <c r="F49" s="27"/>
      <c r="G49" s="27"/>
      <c r="J49" s="29"/>
      <c r="K49" s="29"/>
      <c r="L49" s="29"/>
      <c r="M49" s="29"/>
      <c r="N49" s="29"/>
      <c r="O49" s="29"/>
      <c r="P49" s="29"/>
    </row>
    <row r="50" spans="1:16" x14ac:dyDescent="0.2">
      <c r="A50" s="27"/>
      <c r="B50" s="27"/>
      <c r="C50" s="27"/>
      <c r="D50" s="27"/>
      <c r="E50" s="27"/>
      <c r="F50" s="27"/>
      <c r="G50" s="27"/>
      <c r="J50" s="29"/>
      <c r="K50" s="29"/>
      <c r="L50" s="29"/>
      <c r="M50" s="29"/>
      <c r="N50" s="29"/>
      <c r="O50" s="29"/>
      <c r="P50" s="29"/>
    </row>
    <row r="51" spans="1:16" x14ac:dyDescent="0.2">
      <c r="A51" s="27"/>
      <c r="B51" s="27"/>
      <c r="C51" s="27"/>
      <c r="D51" s="27"/>
      <c r="E51" s="27"/>
      <c r="F51" s="27"/>
      <c r="G51" s="27"/>
      <c r="J51" s="29"/>
      <c r="K51" s="29"/>
      <c r="L51" s="29"/>
      <c r="M51" s="29"/>
      <c r="N51" s="29"/>
      <c r="O51" s="29"/>
      <c r="P51" s="29"/>
    </row>
    <row r="52" spans="1:16" x14ac:dyDescent="0.2">
      <c r="A52" s="27"/>
      <c r="B52" s="27"/>
      <c r="C52" s="27"/>
      <c r="D52" s="27"/>
      <c r="E52" s="27"/>
      <c r="F52" s="27"/>
      <c r="G52" s="27"/>
      <c r="J52" s="29"/>
      <c r="K52" s="29"/>
      <c r="L52" s="29"/>
      <c r="M52" s="29"/>
      <c r="N52" s="29"/>
      <c r="O52" s="29"/>
      <c r="P52" s="29"/>
    </row>
    <row r="53" spans="1:16" x14ac:dyDescent="0.2">
      <c r="A53" s="27"/>
      <c r="B53" s="27"/>
      <c r="C53" s="27"/>
      <c r="D53" s="27"/>
      <c r="E53" s="27"/>
      <c r="F53" s="27"/>
      <c r="G53" s="27"/>
      <c r="J53" s="29"/>
      <c r="K53" s="29"/>
      <c r="L53" s="29"/>
      <c r="M53" s="29"/>
      <c r="N53" s="29"/>
      <c r="O53" s="29"/>
      <c r="P53" s="29"/>
    </row>
    <row r="54" spans="1:16" x14ac:dyDescent="0.2">
      <c r="A54" s="27"/>
      <c r="B54" s="27"/>
      <c r="C54" s="27"/>
      <c r="D54" s="27"/>
      <c r="E54" s="27"/>
      <c r="F54" s="27"/>
      <c r="G54" s="27"/>
      <c r="J54" s="29"/>
      <c r="K54" s="29"/>
      <c r="L54" s="29"/>
      <c r="M54" s="29"/>
      <c r="N54" s="29"/>
      <c r="O54" s="29"/>
      <c r="P54" s="29"/>
    </row>
    <row r="55" spans="1:16" x14ac:dyDescent="0.2">
      <c r="A55" s="27"/>
      <c r="B55" s="27"/>
      <c r="C55" s="27"/>
      <c r="D55" s="27"/>
      <c r="E55" s="27"/>
      <c r="F55" s="27"/>
      <c r="G55" s="27"/>
      <c r="J55" s="29"/>
      <c r="K55" s="29"/>
      <c r="L55" s="29"/>
      <c r="M55" s="29"/>
      <c r="N55" s="29"/>
      <c r="O55" s="29"/>
      <c r="P55" s="29"/>
    </row>
    <row r="56" spans="1:16" x14ac:dyDescent="0.2">
      <c r="A56" s="27"/>
      <c r="B56" s="27"/>
      <c r="C56" s="27"/>
      <c r="D56" s="27"/>
      <c r="E56" s="27"/>
      <c r="F56" s="27"/>
      <c r="G56" s="27"/>
      <c r="J56" s="29"/>
      <c r="K56" s="29"/>
      <c r="L56" s="29"/>
      <c r="M56" s="29"/>
      <c r="N56" s="29"/>
      <c r="O56" s="29"/>
      <c r="P56" s="29"/>
    </row>
    <row r="57" spans="1:16" x14ac:dyDescent="0.2">
      <c r="A57" s="27"/>
      <c r="B57" s="27"/>
      <c r="C57" s="27"/>
      <c r="D57" s="27"/>
      <c r="E57" s="27"/>
      <c r="F57" s="27"/>
      <c r="G57" s="27"/>
      <c r="J57" s="29"/>
      <c r="K57" s="29"/>
      <c r="L57" s="29"/>
      <c r="M57" s="29"/>
      <c r="N57" s="29"/>
      <c r="O57" s="29"/>
      <c r="P57" s="29"/>
    </row>
    <row r="58" spans="1:16" x14ac:dyDescent="0.2">
      <c r="A58" s="27"/>
      <c r="B58" s="27"/>
      <c r="C58" s="27"/>
      <c r="D58" s="27"/>
      <c r="E58" s="27"/>
      <c r="F58" s="27"/>
      <c r="G58" s="27"/>
      <c r="J58" s="29"/>
      <c r="K58" s="29"/>
      <c r="L58" s="29"/>
      <c r="M58" s="29"/>
      <c r="N58" s="29"/>
      <c r="O58" s="29"/>
      <c r="P58" s="29"/>
    </row>
    <row r="59" spans="1:16" x14ac:dyDescent="0.2">
      <c r="A59" s="27"/>
      <c r="B59" s="27"/>
      <c r="C59" s="27"/>
      <c r="D59" s="27"/>
      <c r="E59" s="27"/>
      <c r="F59" s="27"/>
      <c r="G59" s="27"/>
      <c r="J59" s="29"/>
      <c r="K59" s="29"/>
      <c r="L59" s="29"/>
      <c r="M59" s="29"/>
      <c r="N59" s="29"/>
      <c r="O59" s="29"/>
      <c r="P59" s="29"/>
    </row>
    <row r="60" spans="1:16" x14ac:dyDescent="0.2">
      <c r="A60" s="27"/>
      <c r="B60" s="27"/>
      <c r="C60" s="27"/>
      <c r="D60" s="27"/>
      <c r="E60" s="27"/>
      <c r="F60" s="27"/>
      <c r="G60" s="27"/>
      <c r="J60" s="29"/>
      <c r="K60" s="29"/>
      <c r="L60" s="29"/>
      <c r="M60" s="29"/>
      <c r="N60" s="29"/>
      <c r="O60" s="29"/>
      <c r="P60" s="29"/>
    </row>
    <row r="61" spans="1:16" x14ac:dyDescent="0.2">
      <c r="A61" s="27"/>
      <c r="B61" s="27"/>
      <c r="C61" s="27"/>
      <c r="D61" s="27"/>
      <c r="E61" s="27"/>
      <c r="F61" s="27"/>
      <c r="G61" s="27"/>
      <c r="J61" s="29"/>
      <c r="K61" s="29"/>
      <c r="L61" s="29"/>
      <c r="M61" s="29"/>
      <c r="N61" s="29"/>
      <c r="O61" s="29"/>
      <c r="P61" s="29"/>
    </row>
    <row r="62" spans="1:16" x14ac:dyDescent="0.2">
      <c r="A62" s="27"/>
      <c r="B62" s="27"/>
      <c r="C62" s="27"/>
      <c r="D62" s="27"/>
      <c r="E62" s="27"/>
      <c r="F62" s="27"/>
      <c r="G62" s="27"/>
      <c r="J62" s="29"/>
      <c r="K62" s="29"/>
      <c r="L62" s="29"/>
      <c r="M62" s="29"/>
      <c r="N62" s="29"/>
      <c r="O62" s="29"/>
      <c r="P62" s="29"/>
    </row>
    <row r="63" spans="1:16" x14ac:dyDescent="0.2">
      <c r="A63" s="27"/>
      <c r="B63" s="27"/>
      <c r="C63" s="27"/>
      <c r="D63" s="27"/>
      <c r="E63" s="27"/>
      <c r="F63" s="27"/>
      <c r="G63" s="27"/>
      <c r="J63" s="29"/>
      <c r="K63" s="29"/>
      <c r="L63" s="29"/>
      <c r="M63" s="29"/>
      <c r="N63" s="29"/>
      <c r="O63" s="29"/>
      <c r="P63" s="29"/>
    </row>
    <row r="64" spans="1:16" x14ac:dyDescent="0.2">
      <c r="A64" s="27"/>
      <c r="B64" s="27"/>
      <c r="C64" s="27"/>
      <c r="D64" s="27"/>
      <c r="E64" s="27"/>
      <c r="F64" s="27"/>
      <c r="G64" s="27"/>
      <c r="J64" s="29"/>
      <c r="K64" s="29"/>
      <c r="L64" s="29"/>
      <c r="M64" s="29"/>
      <c r="N64" s="29"/>
      <c r="O64" s="29"/>
      <c r="P64" s="29"/>
    </row>
    <row r="65" spans="1:16" x14ac:dyDescent="0.2">
      <c r="A65" s="27"/>
      <c r="B65" s="27"/>
      <c r="C65" s="27"/>
      <c r="D65" s="27"/>
      <c r="E65" s="27"/>
      <c r="F65" s="27"/>
      <c r="G65" s="27"/>
      <c r="J65" s="29"/>
      <c r="K65" s="29"/>
      <c r="L65" s="29"/>
      <c r="M65" s="29"/>
      <c r="N65" s="29"/>
      <c r="O65" s="29"/>
      <c r="P65" s="29"/>
    </row>
    <row r="66" spans="1:16" x14ac:dyDescent="0.2">
      <c r="A66" s="27"/>
      <c r="B66" s="27"/>
      <c r="C66" s="27"/>
      <c r="D66" s="27"/>
      <c r="E66" s="27"/>
      <c r="F66" s="27"/>
      <c r="G66" s="27"/>
      <c r="J66" s="29"/>
      <c r="K66" s="29"/>
      <c r="L66" s="29"/>
      <c r="M66" s="29"/>
      <c r="N66" s="29"/>
      <c r="O66" s="29"/>
      <c r="P66" s="29"/>
    </row>
    <row r="67" spans="1:16" x14ac:dyDescent="0.2">
      <c r="A67" s="27"/>
      <c r="B67" s="27"/>
      <c r="C67" s="27"/>
      <c r="D67" s="27"/>
      <c r="E67" s="27"/>
      <c r="F67" s="27"/>
      <c r="G67" s="27"/>
      <c r="J67" s="29"/>
      <c r="K67" s="29"/>
      <c r="L67" s="29"/>
      <c r="M67" s="29"/>
      <c r="N67" s="29"/>
      <c r="O67" s="29"/>
      <c r="P67" s="29"/>
    </row>
    <row r="68" spans="1:16" x14ac:dyDescent="0.2">
      <c r="A68" s="27"/>
      <c r="B68" s="27"/>
      <c r="C68" s="27"/>
      <c r="D68" s="27"/>
      <c r="E68" s="27"/>
      <c r="F68" s="27"/>
      <c r="G68" s="27"/>
      <c r="J68" s="29"/>
      <c r="K68" s="29"/>
      <c r="L68" s="29"/>
      <c r="M68" s="29"/>
      <c r="N68" s="29"/>
      <c r="O68" s="29"/>
      <c r="P68" s="29"/>
    </row>
    <row r="69" spans="1:16" x14ac:dyDescent="0.2">
      <c r="A69" s="27"/>
      <c r="B69" s="27"/>
      <c r="C69" s="27"/>
      <c r="D69" s="27"/>
      <c r="E69" s="27"/>
      <c r="F69" s="27"/>
      <c r="G69" s="27"/>
      <c r="J69" s="29"/>
      <c r="K69" s="29"/>
      <c r="L69" s="29"/>
      <c r="M69" s="29"/>
      <c r="N69" s="29"/>
      <c r="O69" s="29"/>
      <c r="P69" s="29"/>
    </row>
    <row r="70" spans="1:16" x14ac:dyDescent="0.2">
      <c r="A70" s="27"/>
      <c r="B70" s="27"/>
      <c r="C70" s="27"/>
      <c r="D70" s="27"/>
      <c r="E70" s="27"/>
      <c r="F70" s="27"/>
      <c r="G70" s="27"/>
      <c r="J70" s="29"/>
      <c r="K70" s="29"/>
      <c r="L70" s="29"/>
      <c r="M70" s="29"/>
      <c r="N70" s="29"/>
      <c r="O70" s="29"/>
      <c r="P70" s="29"/>
    </row>
    <row r="71" spans="1:16" x14ac:dyDescent="0.2">
      <c r="A71" s="27"/>
      <c r="B71" s="27"/>
      <c r="C71" s="27"/>
      <c r="D71" s="27"/>
      <c r="E71" s="27"/>
      <c r="F71" s="27"/>
      <c r="G71" s="27"/>
      <c r="J71" s="29"/>
      <c r="K71" s="29"/>
      <c r="L71" s="29"/>
      <c r="M71" s="29"/>
      <c r="N71" s="29"/>
      <c r="O71" s="29"/>
      <c r="P71" s="29"/>
    </row>
  </sheetData>
  <mergeCells count="2">
    <mergeCell ref="A47:G71"/>
    <mergeCell ref="J47:P7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E8D5-44F8-4FEE-8011-B12E230DFC3A}">
  <dimension ref="A1:J74"/>
  <sheetViews>
    <sheetView workbookViewId="0">
      <selection activeCell="H11" sqref="H11:H26"/>
    </sheetView>
  </sheetViews>
  <sheetFormatPr defaultRowHeight="14.25" x14ac:dyDescent="0.2"/>
  <cols>
    <col min="2" max="2" width="15.125" bestFit="1" customWidth="1"/>
  </cols>
  <sheetData>
    <row r="1" spans="1:10" x14ac:dyDescent="0.2">
      <c r="A1" t="s">
        <v>76</v>
      </c>
      <c r="B1" t="s">
        <v>77</v>
      </c>
    </row>
    <row r="2" spans="1:10" x14ac:dyDescent="0.2">
      <c r="A2" t="s">
        <v>0</v>
      </c>
    </row>
    <row r="3" spans="1:10" x14ac:dyDescent="0.2">
      <c r="A3">
        <v>0</v>
      </c>
      <c r="B3">
        <v>0.26800000000000002</v>
      </c>
    </row>
    <row r="4" spans="1:10" x14ac:dyDescent="0.2">
      <c r="A4">
        <v>1</v>
      </c>
      <c r="B4">
        <v>0.39500000000000002</v>
      </c>
    </row>
    <row r="5" spans="1:10" x14ac:dyDescent="0.2">
      <c r="A5">
        <v>2</v>
      </c>
      <c r="B5">
        <v>0.52900000000000003</v>
      </c>
    </row>
    <row r="6" spans="1:10" x14ac:dyDescent="0.2">
      <c r="A6">
        <v>3</v>
      </c>
      <c r="B6">
        <v>0.95299999999999996</v>
      </c>
    </row>
    <row r="7" spans="1:10" x14ac:dyDescent="0.2">
      <c r="A7">
        <v>4</v>
      </c>
      <c r="B7">
        <v>1.3240000000000001</v>
      </c>
    </row>
    <row r="8" spans="1:10" x14ac:dyDescent="0.2">
      <c r="A8">
        <v>5</v>
      </c>
      <c r="B8">
        <v>1.611</v>
      </c>
    </row>
    <row r="9" spans="1:10" ht="15" thickBot="1" x14ac:dyDescent="0.25">
      <c r="A9">
        <v>6</v>
      </c>
      <c r="B9">
        <v>1.8069999999999999</v>
      </c>
    </row>
    <row r="10" spans="1:10" ht="57.75" thickBot="1" x14ac:dyDescent="0.25">
      <c r="A10" s="3" t="s">
        <v>78</v>
      </c>
      <c r="D10" s="14" t="s">
        <v>79</v>
      </c>
      <c r="E10" s="14" t="s">
        <v>80</v>
      </c>
      <c r="F10" s="14" t="s">
        <v>81</v>
      </c>
      <c r="G10" s="14" t="s">
        <v>82</v>
      </c>
      <c r="H10" s="14" t="s">
        <v>83</v>
      </c>
      <c r="I10" s="14" t="s">
        <v>84</v>
      </c>
      <c r="J10" s="14" t="s">
        <v>85</v>
      </c>
    </row>
    <row r="11" spans="1:10" ht="15" thickBot="1" x14ac:dyDescent="0.25">
      <c r="A11" t="s">
        <v>1</v>
      </c>
      <c r="D11" s="1">
        <v>1</v>
      </c>
      <c r="E11" s="1">
        <v>12.68</v>
      </c>
      <c r="F11" s="1">
        <v>11.95</v>
      </c>
      <c r="G11" s="1">
        <v>12.32</v>
      </c>
      <c r="H11" s="1">
        <v>12.32</v>
      </c>
      <c r="I11" s="1">
        <v>0.37</v>
      </c>
      <c r="J11" s="1" t="s">
        <v>61</v>
      </c>
    </row>
    <row r="12" spans="1:10" ht="15" thickBot="1" x14ac:dyDescent="0.25">
      <c r="A12">
        <v>1</v>
      </c>
      <c r="B12">
        <v>1.7050000000000001</v>
      </c>
      <c r="D12" s="1">
        <v>2</v>
      </c>
      <c r="E12" s="1">
        <v>8.56</v>
      </c>
      <c r="F12" s="1">
        <v>7.92</v>
      </c>
      <c r="G12" s="1">
        <v>8.24</v>
      </c>
      <c r="H12" s="1">
        <v>8.24</v>
      </c>
      <c r="I12" s="1">
        <v>0.32</v>
      </c>
      <c r="J12" s="1" t="s">
        <v>62</v>
      </c>
    </row>
    <row r="13" spans="1:10" ht="15" thickBot="1" x14ac:dyDescent="0.25">
      <c r="A13">
        <v>2</v>
      </c>
      <c r="B13">
        <v>1.6379999999999999</v>
      </c>
      <c r="D13" s="1">
        <v>3</v>
      </c>
      <c r="E13" s="1">
        <v>18.75</v>
      </c>
      <c r="F13" s="1">
        <v>19.21</v>
      </c>
      <c r="G13" s="1">
        <v>18.98</v>
      </c>
      <c r="H13" s="1">
        <v>18.98</v>
      </c>
      <c r="I13" s="1">
        <v>0.23</v>
      </c>
      <c r="J13" s="1" t="s">
        <v>63</v>
      </c>
    </row>
    <row r="14" spans="1:10" ht="15" thickBot="1" x14ac:dyDescent="0.25">
      <c r="A14">
        <v>3</v>
      </c>
      <c r="B14">
        <v>1.5820000000000001</v>
      </c>
      <c r="D14" s="1">
        <v>4</v>
      </c>
      <c r="E14" s="1">
        <v>9.1300000000000008</v>
      </c>
      <c r="F14" s="1">
        <v>8.76</v>
      </c>
      <c r="G14" s="1">
        <v>8.9499999999999993</v>
      </c>
      <c r="H14" s="1">
        <v>8.9499999999999993</v>
      </c>
      <c r="I14" s="1">
        <v>0.19</v>
      </c>
      <c r="J14" s="1" t="s">
        <v>62</v>
      </c>
    </row>
    <row r="15" spans="1:10" ht="15" thickBot="1" x14ac:dyDescent="0.25">
      <c r="A15" t="s">
        <v>2</v>
      </c>
      <c r="D15" s="1">
        <v>5</v>
      </c>
      <c r="E15" s="1">
        <v>7.85</v>
      </c>
      <c r="F15" s="1">
        <v>8.1199999999999992</v>
      </c>
      <c r="G15" s="1">
        <v>7.98</v>
      </c>
      <c r="H15" s="1">
        <v>7.98</v>
      </c>
      <c r="I15" s="1">
        <v>0.14000000000000001</v>
      </c>
      <c r="J15" s="1" t="s">
        <v>62</v>
      </c>
    </row>
    <row r="16" spans="1:10" ht="15" thickBot="1" x14ac:dyDescent="0.25">
      <c r="A16">
        <v>1</v>
      </c>
      <c r="B16">
        <v>1.946</v>
      </c>
      <c r="D16" s="1">
        <v>6</v>
      </c>
      <c r="E16" s="1">
        <v>17.32</v>
      </c>
      <c r="F16" s="1">
        <v>16.89</v>
      </c>
      <c r="G16" s="1">
        <v>17.11</v>
      </c>
      <c r="H16" s="1">
        <v>17.11</v>
      </c>
      <c r="I16" s="1">
        <v>0.22</v>
      </c>
      <c r="J16" s="1" t="s">
        <v>63</v>
      </c>
    </row>
    <row r="17" spans="1:10" ht="15" thickBot="1" x14ac:dyDescent="0.25">
      <c r="A17">
        <v>2</v>
      </c>
      <c r="B17">
        <v>1.9750000000000001</v>
      </c>
      <c r="D17" s="1">
        <v>7</v>
      </c>
      <c r="E17" s="1">
        <v>11.56</v>
      </c>
      <c r="F17" s="1">
        <v>12.03</v>
      </c>
      <c r="G17" s="1">
        <v>11.79</v>
      </c>
      <c r="H17" s="1">
        <v>11.79</v>
      </c>
      <c r="I17" s="1">
        <v>0.24</v>
      </c>
      <c r="J17" s="1" t="s">
        <v>61</v>
      </c>
    </row>
    <row r="18" spans="1:10" ht="15" thickBot="1" x14ac:dyDescent="0.25">
      <c r="A18">
        <v>3</v>
      </c>
      <c r="B18">
        <v>1.86</v>
      </c>
      <c r="D18" s="1">
        <v>8</v>
      </c>
      <c r="E18" s="1">
        <v>13.25</v>
      </c>
      <c r="F18" s="1">
        <v>12.89</v>
      </c>
      <c r="G18" s="1">
        <v>13.07</v>
      </c>
      <c r="H18" s="1">
        <v>13.07</v>
      </c>
      <c r="I18" s="1">
        <v>0.18</v>
      </c>
      <c r="J18" s="1" t="s">
        <v>61</v>
      </c>
    </row>
    <row r="19" spans="1:10" ht="15" thickBot="1" x14ac:dyDescent="0.25">
      <c r="A19" t="s">
        <v>3</v>
      </c>
      <c r="D19" s="1">
        <v>9</v>
      </c>
      <c r="E19" s="1">
        <v>10.89</v>
      </c>
      <c r="F19" s="1">
        <v>11.23</v>
      </c>
      <c r="G19" s="1">
        <v>11.06</v>
      </c>
      <c r="H19" s="1">
        <v>11.06</v>
      </c>
      <c r="I19" s="1">
        <v>0.17</v>
      </c>
      <c r="J19" s="1" t="s">
        <v>61</v>
      </c>
    </row>
    <row r="20" spans="1:10" ht="15" thickBot="1" x14ac:dyDescent="0.25">
      <c r="A20">
        <v>1</v>
      </c>
      <c r="B20">
        <v>0.68899999999999995</v>
      </c>
      <c r="D20" s="1">
        <v>10</v>
      </c>
      <c r="E20" s="1">
        <v>12.15</v>
      </c>
      <c r="F20" s="1">
        <v>11.78</v>
      </c>
      <c r="G20" s="1">
        <v>11.97</v>
      </c>
      <c r="H20" s="1">
        <v>11.97</v>
      </c>
      <c r="I20" s="1">
        <v>0.19</v>
      </c>
      <c r="J20" s="1" t="s">
        <v>61</v>
      </c>
    </row>
    <row r="21" spans="1:10" ht="15" thickBot="1" x14ac:dyDescent="0.25">
      <c r="A21">
        <v>2</v>
      </c>
      <c r="B21">
        <v>0.81699999999999995</v>
      </c>
      <c r="D21" s="1">
        <v>11</v>
      </c>
      <c r="E21" s="1">
        <v>13.56</v>
      </c>
      <c r="F21" s="1">
        <v>13.12</v>
      </c>
      <c r="G21" s="1">
        <v>13.34</v>
      </c>
      <c r="H21" s="1">
        <v>13.34</v>
      </c>
      <c r="I21" s="1">
        <v>0.22</v>
      </c>
      <c r="J21" s="1" t="s">
        <v>61</v>
      </c>
    </row>
    <row r="22" spans="1:10" ht="29.25" thickBot="1" x14ac:dyDescent="0.25">
      <c r="A22">
        <v>3</v>
      </c>
      <c r="B22">
        <v>0.68400000000000005</v>
      </c>
      <c r="D22" s="1">
        <v>12</v>
      </c>
      <c r="E22" s="1">
        <v>22.45</v>
      </c>
      <c r="F22" s="1">
        <v>23.12</v>
      </c>
      <c r="G22" s="1">
        <v>22.79</v>
      </c>
      <c r="H22" s="1">
        <v>22.79</v>
      </c>
      <c r="I22" s="1">
        <v>0.34</v>
      </c>
      <c r="J22" s="1" t="s">
        <v>86</v>
      </c>
    </row>
    <row r="23" spans="1:10" ht="29.25" thickBot="1" x14ac:dyDescent="0.25">
      <c r="A23" t="s">
        <v>4</v>
      </c>
      <c r="D23" s="1">
        <v>13</v>
      </c>
      <c r="E23" s="1">
        <v>6.98</v>
      </c>
      <c r="F23" s="1">
        <v>7.25</v>
      </c>
      <c r="G23" s="1">
        <v>7.12</v>
      </c>
      <c r="H23" s="1">
        <v>7.12</v>
      </c>
      <c r="I23" s="1">
        <v>0.14000000000000001</v>
      </c>
      <c r="J23" s="1" t="s">
        <v>87</v>
      </c>
    </row>
    <row r="24" spans="1:10" ht="15" thickBot="1" x14ac:dyDescent="0.25">
      <c r="A24">
        <v>1</v>
      </c>
      <c r="B24">
        <v>0.59699999999999998</v>
      </c>
      <c r="D24" s="1">
        <v>14</v>
      </c>
      <c r="E24" s="1">
        <v>14.89</v>
      </c>
      <c r="F24" s="1">
        <v>15.23</v>
      </c>
      <c r="G24" s="1">
        <v>15.06</v>
      </c>
      <c r="H24" s="1">
        <v>15.06</v>
      </c>
      <c r="I24" s="1">
        <v>0.17</v>
      </c>
      <c r="J24" s="1" t="s">
        <v>61</v>
      </c>
    </row>
    <row r="25" spans="1:10" ht="15" thickBot="1" x14ac:dyDescent="0.25">
      <c r="A25">
        <v>2</v>
      </c>
      <c r="B25">
        <v>0.71</v>
      </c>
      <c r="D25" s="1">
        <v>15</v>
      </c>
      <c r="E25" s="1">
        <v>20.32</v>
      </c>
      <c r="F25" s="1">
        <v>20.89</v>
      </c>
      <c r="G25" s="1">
        <v>20.61</v>
      </c>
      <c r="H25" s="1">
        <v>20.61</v>
      </c>
      <c r="I25" s="1">
        <v>0.28999999999999998</v>
      </c>
      <c r="J25" s="1" t="s">
        <v>63</v>
      </c>
    </row>
    <row r="26" spans="1:10" ht="15" thickBot="1" x14ac:dyDescent="0.25">
      <c r="A26">
        <v>3</v>
      </c>
      <c r="B26">
        <v>0.83199999999999996</v>
      </c>
      <c r="D26" s="1">
        <v>16</v>
      </c>
      <c r="E26" s="1">
        <v>19.850000000000001</v>
      </c>
      <c r="F26" s="1">
        <v>20.12</v>
      </c>
      <c r="G26" s="1">
        <v>19.989999999999998</v>
      </c>
      <c r="H26" s="1">
        <v>19.989999999999998</v>
      </c>
      <c r="I26" s="1">
        <v>0.14000000000000001</v>
      </c>
      <c r="J26" s="1" t="s">
        <v>63</v>
      </c>
    </row>
    <row r="27" spans="1:10" x14ac:dyDescent="0.2">
      <c r="A27" t="s">
        <v>5</v>
      </c>
    </row>
    <row r="28" spans="1:10" x14ac:dyDescent="0.2">
      <c r="A28">
        <v>1</v>
      </c>
      <c r="B28">
        <v>0.624</v>
      </c>
    </row>
    <row r="29" spans="1:10" x14ac:dyDescent="0.2">
      <c r="A29">
        <v>2</v>
      </c>
      <c r="B29">
        <v>0.84599999999999997</v>
      </c>
    </row>
    <row r="30" spans="1:10" x14ac:dyDescent="0.2">
      <c r="A30">
        <v>3</v>
      </c>
      <c r="B30">
        <v>0.67700000000000005</v>
      </c>
    </row>
    <row r="31" spans="1:10" x14ac:dyDescent="0.2">
      <c r="A31" t="s">
        <v>6</v>
      </c>
    </row>
    <row r="32" spans="1:10" x14ac:dyDescent="0.2">
      <c r="A32">
        <v>1</v>
      </c>
      <c r="B32">
        <v>0.33</v>
      </c>
    </row>
    <row r="33" spans="1:2" x14ac:dyDescent="0.2">
      <c r="A33">
        <v>2</v>
      </c>
      <c r="B33">
        <v>0.41799999999999998</v>
      </c>
    </row>
    <row r="34" spans="1:2" x14ac:dyDescent="0.2">
      <c r="A34">
        <v>3</v>
      </c>
      <c r="B34">
        <v>0.50700000000000001</v>
      </c>
    </row>
    <row r="35" spans="1:2" x14ac:dyDescent="0.2">
      <c r="A35" t="s">
        <v>8</v>
      </c>
    </row>
    <row r="36" spans="1:2" x14ac:dyDescent="0.2">
      <c r="A36">
        <v>1</v>
      </c>
      <c r="B36">
        <v>0.72299999999999998</v>
      </c>
    </row>
    <row r="37" spans="1:2" x14ac:dyDescent="0.2">
      <c r="A37">
        <v>2</v>
      </c>
      <c r="B37">
        <v>0.83099999999999996</v>
      </c>
    </row>
    <row r="38" spans="1:2" x14ac:dyDescent="0.2">
      <c r="A38">
        <v>3</v>
      </c>
      <c r="B38">
        <v>0.80400000000000005</v>
      </c>
    </row>
    <row r="39" spans="1:2" x14ac:dyDescent="0.2">
      <c r="A39" t="s">
        <v>9</v>
      </c>
    </row>
    <row r="40" spans="1:2" x14ac:dyDescent="0.2">
      <c r="A40">
        <v>1</v>
      </c>
      <c r="B40">
        <v>0.61499999999999999</v>
      </c>
    </row>
    <row r="41" spans="1:2" x14ac:dyDescent="0.2">
      <c r="A41">
        <v>2</v>
      </c>
      <c r="B41">
        <v>0.49399999999999999</v>
      </c>
    </row>
    <row r="42" spans="1:2" x14ac:dyDescent="0.2">
      <c r="A42">
        <v>3</v>
      </c>
      <c r="B42">
        <v>0.46300000000000002</v>
      </c>
    </row>
    <row r="43" spans="1:2" x14ac:dyDescent="0.2">
      <c r="A43" t="s">
        <v>10</v>
      </c>
    </row>
    <row r="44" spans="1:2" x14ac:dyDescent="0.2">
      <c r="A44">
        <v>1</v>
      </c>
      <c r="B44">
        <v>0.67800000000000005</v>
      </c>
    </row>
    <row r="45" spans="1:2" x14ac:dyDescent="0.2">
      <c r="A45">
        <v>2</v>
      </c>
      <c r="B45">
        <v>0.54100000000000004</v>
      </c>
    </row>
    <row r="46" spans="1:2" x14ac:dyDescent="0.2">
      <c r="A46">
        <v>3</v>
      </c>
      <c r="B46">
        <v>0.70499999999999996</v>
      </c>
    </row>
    <row r="47" spans="1:2" x14ac:dyDescent="0.2">
      <c r="A47" t="s">
        <v>11</v>
      </c>
    </row>
    <row r="48" spans="1:2" x14ac:dyDescent="0.2">
      <c r="A48">
        <v>1</v>
      </c>
      <c r="B48">
        <v>0.56599999999999995</v>
      </c>
    </row>
    <row r="49" spans="1:2" x14ac:dyDescent="0.2">
      <c r="A49">
        <v>2</v>
      </c>
      <c r="B49">
        <v>0.57899999999999996</v>
      </c>
    </row>
    <row r="50" spans="1:2" x14ac:dyDescent="0.2">
      <c r="A50">
        <v>3</v>
      </c>
      <c r="B50">
        <v>0.504</v>
      </c>
    </row>
    <row r="51" spans="1:2" x14ac:dyDescent="0.2">
      <c r="A51" t="s">
        <v>12</v>
      </c>
    </row>
    <row r="52" spans="1:2" x14ac:dyDescent="0.2">
      <c r="A52">
        <v>1</v>
      </c>
      <c r="B52">
        <v>0.622</v>
      </c>
    </row>
    <row r="53" spans="1:2" x14ac:dyDescent="0.2">
      <c r="A53">
        <v>2</v>
      </c>
      <c r="B53">
        <v>0.81699999999999995</v>
      </c>
    </row>
    <row r="54" spans="1:2" x14ac:dyDescent="0.2">
      <c r="A54">
        <v>3</v>
      </c>
      <c r="B54">
        <v>0.66100000000000003</v>
      </c>
    </row>
    <row r="55" spans="1:2" x14ac:dyDescent="0.2">
      <c r="A55" t="s">
        <v>13</v>
      </c>
    </row>
    <row r="56" spans="1:2" x14ac:dyDescent="0.2">
      <c r="A56">
        <v>1</v>
      </c>
      <c r="B56">
        <v>0.65500000000000003</v>
      </c>
    </row>
    <row r="57" spans="1:2" x14ac:dyDescent="0.2">
      <c r="A57">
        <v>2</v>
      </c>
      <c r="B57">
        <v>0.54800000000000004</v>
      </c>
    </row>
    <row r="58" spans="1:2" x14ac:dyDescent="0.2">
      <c r="A58">
        <v>3</v>
      </c>
      <c r="B58">
        <v>0.64600000000000002</v>
      </c>
    </row>
    <row r="59" spans="1:2" x14ac:dyDescent="0.2">
      <c r="A59" t="s">
        <v>14</v>
      </c>
    </row>
    <row r="60" spans="1:2" x14ac:dyDescent="0.2">
      <c r="A60">
        <v>1</v>
      </c>
      <c r="B60">
        <v>0.69599999999999995</v>
      </c>
    </row>
    <row r="61" spans="1:2" x14ac:dyDescent="0.2">
      <c r="A61">
        <v>2</v>
      </c>
      <c r="B61">
        <v>0.64500000000000002</v>
      </c>
    </row>
    <row r="62" spans="1:2" x14ac:dyDescent="0.2">
      <c r="A62">
        <v>3</v>
      </c>
      <c r="B62">
        <v>0.67800000000000005</v>
      </c>
    </row>
    <row r="63" spans="1:2" x14ac:dyDescent="0.2">
      <c r="A63" t="s">
        <v>15</v>
      </c>
    </row>
    <row r="64" spans="1:2" x14ac:dyDescent="0.2">
      <c r="A64">
        <v>1</v>
      </c>
      <c r="B64">
        <v>1.1060000000000001</v>
      </c>
    </row>
    <row r="65" spans="1:2" x14ac:dyDescent="0.2">
      <c r="A65">
        <v>2</v>
      </c>
      <c r="B65">
        <v>1.0980000000000001</v>
      </c>
    </row>
    <row r="66" spans="1:2" x14ac:dyDescent="0.2">
      <c r="A66">
        <v>3</v>
      </c>
      <c r="B66">
        <v>1.218</v>
      </c>
    </row>
    <row r="67" spans="1:2" x14ac:dyDescent="0.2">
      <c r="A67" t="s">
        <v>16</v>
      </c>
    </row>
    <row r="68" spans="1:2" x14ac:dyDescent="0.2">
      <c r="A68">
        <v>1</v>
      </c>
      <c r="B68">
        <v>0.57599999999999996</v>
      </c>
    </row>
    <row r="69" spans="1:2" x14ac:dyDescent="0.2">
      <c r="A69">
        <v>2</v>
      </c>
      <c r="B69">
        <v>0.46300000000000002</v>
      </c>
    </row>
    <row r="70" spans="1:2" x14ac:dyDescent="0.2">
      <c r="A70">
        <v>3</v>
      </c>
      <c r="B70">
        <v>0.53700000000000003</v>
      </c>
    </row>
    <row r="71" spans="1:2" x14ac:dyDescent="0.2">
      <c r="A71" t="s">
        <v>17</v>
      </c>
    </row>
    <row r="72" spans="1:2" x14ac:dyDescent="0.2">
      <c r="A72">
        <v>1</v>
      </c>
      <c r="B72">
        <v>0.81299999999999994</v>
      </c>
    </row>
    <row r="73" spans="1:2" x14ac:dyDescent="0.2">
      <c r="A73">
        <v>2</v>
      </c>
      <c r="B73">
        <v>0.73599999999999999</v>
      </c>
    </row>
    <row r="74" spans="1:2" x14ac:dyDescent="0.2">
      <c r="A74">
        <v>3</v>
      </c>
      <c r="B74">
        <v>0.871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ADC7-87CF-4A1E-84AB-DAC6DEF87E71}">
  <dimension ref="A1:Q68"/>
  <sheetViews>
    <sheetView zoomScale="115" zoomScaleNormal="115" workbookViewId="0">
      <selection activeCell="K4" sqref="K4"/>
    </sheetView>
  </sheetViews>
  <sheetFormatPr defaultRowHeight="14.25" x14ac:dyDescent="0.2"/>
  <cols>
    <col min="6" max="6" width="11" bestFit="1" customWidth="1"/>
  </cols>
  <sheetData>
    <row r="1" spans="1:17" x14ac:dyDescent="0.2">
      <c r="A1" t="s">
        <v>46</v>
      </c>
      <c r="B1" t="s">
        <v>47</v>
      </c>
      <c r="C1" t="s">
        <v>48</v>
      </c>
      <c r="D1" t="s">
        <v>49</v>
      </c>
    </row>
    <row r="2" spans="1:17" x14ac:dyDescent="0.2">
      <c r="A2" t="s">
        <v>50</v>
      </c>
      <c r="B2">
        <v>3.1E-2</v>
      </c>
      <c r="C2">
        <v>1.2E-2</v>
      </c>
      <c r="D2">
        <v>6.0000000000000001E-3</v>
      </c>
    </row>
    <row r="3" spans="1:17" ht="15" thickBot="1" x14ac:dyDescent="0.25">
      <c r="A3" t="s">
        <v>51</v>
      </c>
      <c r="B3">
        <v>3.7999999999999999E-2</v>
      </c>
      <c r="C3">
        <v>1.7999999999999999E-2</v>
      </c>
      <c r="D3">
        <v>1.0999999999999999E-2</v>
      </c>
    </row>
    <row r="4" spans="1:17" ht="86.25" thickBot="1" x14ac:dyDescent="0.25">
      <c r="F4" t="s">
        <v>52</v>
      </c>
      <c r="G4" s="2" t="s">
        <v>18</v>
      </c>
      <c r="H4" s="2" t="s">
        <v>53</v>
      </c>
      <c r="I4" s="2" t="s">
        <v>54</v>
      </c>
      <c r="J4" s="2" t="s">
        <v>55</v>
      </c>
      <c r="K4" s="2" t="s">
        <v>56</v>
      </c>
      <c r="L4" s="2" t="s">
        <v>57</v>
      </c>
      <c r="M4" s="2" t="s">
        <v>58</v>
      </c>
      <c r="N4" s="2" t="s">
        <v>64</v>
      </c>
      <c r="O4" s="2" t="s">
        <v>59</v>
      </c>
      <c r="P4" s="2" t="s">
        <v>60</v>
      </c>
      <c r="Q4" s="2" t="s">
        <v>65</v>
      </c>
    </row>
    <row r="5" spans="1:17" ht="15" thickBot="1" x14ac:dyDescent="0.25">
      <c r="A5" t="s">
        <v>1</v>
      </c>
      <c r="B5" t="s">
        <v>47</v>
      </c>
      <c r="C5" t="s">
        <v>48</v>
      </c>
      <c r="D5" t="s">
        <v>49</v>
      </c>
      <c r="G5" s="1">
        <v>1</v>
      </c>
      <c r="H5" s="1">
        <v>0.46129999999999999</v>
      </c>
      <c r="I5" s="1">
        <v>0.31330000000000002</v>
      </c>
      <c r="J5" s="1">
        <v>0.23530000000000001</v>
      </c>
      <c r="K5" s="1">
        <v>0.42680000000000001</v>
      </c>
      <c r="L5" s="1">
        <v>0.29830000000000001</v>
      </c>
      <c r="M5" s="1">
        <v>0.2268</v>
      </c>
      <c r="N5" s="1">
        <v>5.21E-2</v>
      </c>
      <c r="O5" s="1">
        <v>0.2223</v>
      </c>
      <c r="P5" s="1">
        <v>1.1114999999999999</v>
      </c>
      <c r="Q5" s="1" t="s">
        <v>61</v>
      </c>
    </row>
    <row r="6" spans="1:17" ht="15" thickBot="1" x14ac:dyDescent="0.25">
      <c r="A6">
        <v>1</v>
      </c>
      <c r="B6">
        <v>0.53300000000000003</v>
      </c>
      <c r="C6">
        <v>0.35799999999999998</v>
      </c>
      <c r="D6">
        <v>0.24299999999999999</v>
      </c>
      <c r="G6" s="1">
        <v>2</v>
      </c>
      <c r="H6" s="1">
        <v>0.41899999999999998</v>
      </c>
      <c r="I6" s="1">
        <v>0.2833</v>
      </c>
      <c r="J6" s="1">
        <v>0.1517</v>
      </c>
      <c r="K6" s="1">
        <v>0.38450000000000001</v>
      </c>
      <c r="L6" s="1">
        <v>0.26829999999999998</v>
      </c>
      <c r="M6" s="1">
        <v>0.14319999999999999</v>
      </c>
      <c r="N6" s="1">
        <v>0.1245</v>
      </c>
      <c r="O6" s="1">
        <v>0.58960000000000001</v>
      </c>
      <c r="P6" s="1">
        <v>2.948</v>
      </c>
      <c r="Q6" s="1" t="s">
        <v>62</v>
      </c>
    </row>
    <row r="7" spans="1:17" ht="15" thickBot="1" x14ac:dyDescent="0.25">
      <c r="A7">
        <v>2</v>
      </c>
      <c r="B7">
        <v>0.42899999999999999</v>
      </c>
      <c r="C7">
        <v>0.247</v>
      </c>
      <c r="D7">
        <v>0.17499999999999999</v>
      </c>
      <c r="G7" s="1">
        <v>3</v>
      </c>
      <c r="H7" s="1">
        <v>0.42330000000000001</v>
      </c>
      <c r="I7" s="1">
        <v>0.31169999999999998</v>
      </c>
      <c r="J7" s="1">
        <v>0.26429999999999998</v>
      </c>
      <c r="K7" s="1">
        <v>0.38879999999999998</v>
      </c>
      <c r="L7" s="1">
        <v>0.29670000000000002</v>
      </c>
      <c r="M7" s="1">
        <v>0.25580000000000003</v>
      </c>
      <c r="N7" s="1">
        <v>5.5199999999999999E-2</v>
      </c>
      <c r="O7" s="1">
        <v>0.1545</v>
      </c>
      <c r="P7" s="1">
        <v>0.77249999999999996</v>
      </c>
      <c r="Q7" s="1" t="s">
        <v>63</v>
      </c>
    </row>
    <row r="8" spans="1:17" ht="15" thickBot="1" x14ac:dyDescent="0.25">
      <c r="A8">
        <v>3</v>
      </c>
      <c r="B8">
        <v>0.42199999999999999</v>
      </c>
      <c r="C8">
        <v>0.33500000000000002</v>
      </c>
      <c r="D8">
        <v>0.28799999999999998</v>
      </c>
      <c r="G8" s="1">
        <v>4</v>
      </c>
      <c r="H8" s="1">
        <v>0.56499999999999995</v>
      </c>
      <c r="I8" s="1">
        <v>0.41370000000000001</v>
      </c>
      <c r="J8" s="1">
        <v>0.2873</v>
      </c>
      <c r="K8" s="1">
        <v>0.53049999999999997</v>
      </c>
      <c r="L8" s="1">
        <v>0.3987</v>
      </c>
      <c r="M8" s="1">
        <v>0.27879999999999999</v>
      </c>
      <c r="N8" s="1">
        <v>6.8500000000000005E-2</v>
      </c>
      <c r="O8" s="1">
        <v>0.56279999999999997</v>
      </c>
      <c r="P8" s="1">
        <v>2.8140000000000001</v>
      </c>
      <c r="Q8" s="1" t="s">
        <v>62</v>
      </c>
    </row>
    <row r="9" spans="1:17" ht="15" thickBot="1" x14ac:dyDescent="0.25">
      <c r="A9" t="s">
        <v>2</v>
      </c>
      <c r="B9" t="s">
        <v>47</v>
      </c>
      <c r="C9" t="s">
        <v>48</v>
      </c>
      <c r="D9" t="s">
        <v>49</v>
      </c>
      <c r="G9" s="1">
        <v>5</v>
      </c>
      <c r="H9" s="1">
        <v>0.53169999999999995</v>
      </c>
      <c r="I9" s="1">
        <v>0.37130000000000002</v>
      </c>
      <c r="J9" s="1">
        <v>0.24129999999999999</v>
      </c>
      <c r="K9" s="1">
        <v>0.49719999999999998</v>
      </c>
      <c r="L9" s="1">
        <v>0.35630000000000001</v>
      </c>
      <c r="M9" s="1">
        <v>0.23280000000000001</v>
      </c>
      <c r="N9" s="1">
        <v>0.13650000000000001</v>
      </c>
      <c r="O9" s="1">
        <v>0.54169999999999996</v>
      </c>
      <c r="P9" s="1">
        <v>2.7084999999999999</v>
      </c>
      <c r="Q9" s="1" t="s">
        <v>62</v>
      </c>
    </row>
    <row r="10" spans="1:17" ht="15" thickBot="1" x14ac:dyDescent="0.25">
      <c r="A10">
        <v>1</v>
      </c>
      <c r="B10">
        <v>0.28999999999999998</v>
      </c>
      <c r="C10">
        <v>0.21199999999999999</v>
      </c>
      <c r="D10">
        <v>0.108</v>
      </c>
      <c r="G10" s="1">
        <v>6</v>
      </c>
      <c r="H10" s="1">
        <v>0.255</v>
      </c>
      <c r="I10" s="1">
        <v>0.19600000000000001</v>
      </c>
      <c r="J10" s="1">
        <v>0.15329999999999999</v>
      </c>
      <c r="K10" s="1">
        <v>0.2205</v>
      </c>
      <c r="L10" s="1">
        <v>0.18099999999999999</v>
      </c>
      <c r="M10" s="1">
        <v>0.14480000000000001</v>
      </c>
      <c r="N10" s="1">
        <v>3.32E-2</v>
      </c>
      <c r="O10" s="1">
        <v>0.12640000000000001</v>
      </c>
      <c r="P10" s="1">
        <v>0.63200000000000001</v>
      </c>
      <c r="Q10" s="1" t="s">
        <v>63</v>
      </c>
    </row>
    <row r="11" spans="1:17" ht="15" thickBot="1" x14ac:dyDescent="0.25">
      <c r="A11">
        <v>2</v>
      </c>
      <c r="B11">
        <v>0.58699999999999997</v>
      </c>
      <c r="C11">
        <v>0.39800000000000002</v>
      </c>
      <c r="D11">
        <v>0.182</v>
      </c>
      <c r="G11" s="1">
        <v>7</v>
      </c>
      <c r="H11" s="1">
        <v>0.39229999999999998</v>
      </c>
      <c r="I11" s="1">
        <v>0.25230000000000002</v>
      </c>
      <c r="J11" s="1">
        <v>0.16470000000000001</v>
      </c>
      <c r="K11" s="1">
        <v>0.35780000000000001</v>
      </c>
      <c r="L11" s="1">
        <v>0.23730000000000001</v>
      </c>
      <c r="M11" s="1">
        <v>0.15620000000000001</v>
      </c>
      <c r="N11" s="1">
        <v>0.11020000000000001</v>
      </c>
      <c r="O11" s="1">
        <v>0.37209999999999999</v>
      </c>
      <c r="P11" s="1">
        <v>1.8605</v>
      </c>
      <c r="Q11" s="1" t="s">
        <v>61</v>
      </c>
    </row>
    <row r="12" spans="1:17" ht="15" thickBot="1" x14ac:dyDescent="0.25">
      <c r="A12">
        <v>3</v>
      </c>
      <c r="B12">
        <v>0.38</v>
      </c>
      <c r="C12">
        <v>0.24</v>
      </c>
      <c r="D12">
        <v>0.16500000000000001</v>
      </c>
      <c r="G12" s="1">
        <v>8</v>
      </c>
      <c r="H12" s="1">
        <v>0.3523</v>
      </c>
      <c r="I12" s="1">
        <v>0.26700000000000002</v>
      </c>
      <c r="J12" s="1">
        <v>0.20430000000000001</v>
      </c>
      <c r="K12" s="1">
        <v>0.31780000000000003</v>
      </c>
      <c r="L12" s="1">
        <v>0.252</v>
      </c>
      <c r="M12" s="1">
        <v>0.1958</v>
      </c>
      <c r="N12" s="1">
        <v>6.5100000000000005E-2</v>
      </c>
      <c r="O12" s="1">
        <v>0.2087</v>
      </c>
      <c r="P12" s="1">
        <v>1.0435000000000001</v>
      </c>
      <c r="Q12" s="1" t="s">
        <v>61</v>
      </c>
    </row>
    <row r="13" spans="1:17" ht="15" thickBot="1" x14ac:dyDescent="0.25">
      <c r="A13" t="s">
        <v>3</v>
      </c>
      <c r="B13" t="s">
        <v>47</v>
      </c>
      <c r="C13" t="s">
        <v>48</v>
      </c>
      <c r="D13" t="s">
        <v>49</v>
      </c>
      <c r="G13" s="1">
        <v>9</v>
      </c>
      <c r="H13" s="1">
        <v>0.44069999999999998</v>
      </c>
      <c r="I13" s="1">
        <v>0.29730000000000001</v>
      </c>
      <c r="J13" s="1">
        <v>0.20569999999999999</v>
      </c>
      <c r="K13" s="1">
        <v>0.40620000000000001</v>
      </c>
      <c r="L13" s="1">
        <v>0.2823</v>
      </c>
      <c r="M13" s="1">
        <v>0.19719999999999999</v>
      </c>
      <c r="N13" s="1">
        <v>7.2599999999999998E-2</v>
      </c>
      <c r="O13" s="1">
        <v>0.3765</v>
      </c>
      <c r="P13" s="1">
        <v>1.8825000000000001</v>
      </c>
      <c r="Q13" s="1" t="s">
        <v>61</v>
      </c>
    </row>
    <row r="14" spans="1:17" ht="15" thickBot="1" x14ac:dyDescent="0.25">
      <c r="A14">
        <v>1</v>
      </c>
      <c r="B14">
        <v>0.35499999999999998</v>
      </c>
      <c r="C14">
        <v>0.34699999999999998</v>
      </c>
      <c r="D14">
        <v>0.312</v>
      </c>
      <c r="G14" s="1">
        <v>10</v>
      </c>
      <c r="H14" s="1">
        <v>0.32369999999999999</v>
      </c>
      <c r="I14" s="1">
        <v>0.19769999999999999</v>
      </c>
      <c r="J14" s="1">
        <v>0.13900000000000001</v>
      </c>
      <c r="K14" s="1">
        <v>0.28920000000000001</v>
      </c>
      <c r="L14" s="1">
        <v>0.1827</v>
      </c>
      <c r="M14" s="1">
        <v>0.1305</v>
      </c>
      <c r="N14" s="1">
        <v>3.15E-2</v>
      </c>
      <c r="O14" s="1">
        <v>0.2341</v>
      </c>
      <c r="P14" s="1">
        <v>1.1705000000000001</v>
      </c>
      <c r="Q14" s="1" t="s">
        <v>61</v>
      </c>
    </row>
    <row r="15" spans="1:17" ht="15" thickBot="1" x14ac:dyDescent="0.25">
      <c r="A15">
        <v>2</v>
      </c>
      <c r="B15">
        <v>0.46400000000000002</v>
      </c>
      <c r="C15">
        <v>0.3</v>
      </c>
      <c r="D15">
        <v>0.27600000000000002</v>
      </c>
      <c r="G15" s="1">
        <v>11</v>
      </c>
      <c r="H15" s="1">
        <v>0.37969999999999998</v>
      </c>
      <c r="I15" s="1">
        <v>0.26729999999999998</v>
      </c>
      <c r="J15" s="1">
        <v>0.20030000000000001</v>
      </c>
      <c r="K15" s="1">
        <v>0.34520000000000001</v>
      </c>
      <c r="L15" s="1">
        <v>0.25230000000000002</v>
      </c>
      <c r="M15" s="1">
        <v>0.1918</v>
      </c>
      <c r="N15" s="1">
        <v>2.4500000000000001E-2</v>
      </c>
      <c r="O15" s="1">
        <v>0.2419</v>
      </c>
      <c r="P15" s="1">
        <v>1.2095</v>
      </c>
      <c r="Q15" s="1" t="s">
        <v>61</v>
      </c>
    </row>
    <row r="16" spans="1:17" ht="15" thickBot="1" x14ac:dyDescent="0.25">
      <c r="A16">
        <v>3</v>
      </c>
      <c r="B16">
        <v>0.45100000000000001</v>
      </c>
      <c r="C16">
        <v>0.28799999999999998</v>
      </c>
      <c r="D16">
        <v>0.20499999999999999</v>
      </c>
      <c r="G16" s="1">
        <v>12</v>
      </c>
      <c r="H16" s="1">
        <v>0.43930000000000002</v>
      </c>
      <c r="I16" s="1">
        <v>0.30030000000000001</v>
      </c>
      <c r="J16" s="1">
        <v>0.22270000000000001</v>
      </c>
      <c r="K16" s="1">
        <v>0.40479999999999999</v>
      </c>
      <c r="L16" s="1">
        <v>0.2853</v>
      </c>
      <c r="M16" s="1">
        <v>0.2142</v>
      </c>
      <c r="N16" s="1">
        <v>1.8599999999999998E-2</v>
      </c>
      <c r="O16" s="1">
        <v>0.30859999999999999</v>
      </c>
      <c r="P16" s="1">
        <v>1.5429999999999999</v>
      </c>
      <c r="Q16" s="1" t="s">
        <v>61</v>
      </c>
    </row>
    <row r="17" spans="1:17" ht="15" thickBot="1" x14ac:dyDescent="0.25">
      <c r="A17" t="s">
        <v>4</v>
      </c>
      <c r="B17" t="s">
        <v>47</v>
      </c>
      <c r="C17" t="s">
        <v>48</v>
      </c>
      <c r="D17" t="s">
        <v>49</v>
      </c>
      <c r="G17" s="1">
        <v>13</v>
      </c>
      <c r="H17" s="1">
        <v>0.51029999999999998</v>
      </c>
      <c r="I17" s="1">
        <v>0.36930000000000002</v>
      </c>
      <c r="J17" s="1">
        <v>0.25569999999999998</v>
      </c>
      <c r="K17" s="1">
        <v>0.4758</v>
      </c>
      <c r="L17" s="1">
        <v>0.3543</v>
      </c>
      <c r="M17" s="1">
        <v>0.2472</v>
      </c>
      <c r="N17" s="1">
        <v>2.5100000000000001E-2</v>
      </c>
      <c r="O17" s="1">
        <v>0.50339999999999996</v>
      </c>
      <c r="P17" s="1">
        <v>2.5169999999999999</v>
      </c>
      <c r="Q17" s="1" t="s">
        <v>62</v>
      </c>
    </row>
    <row r="18" spans="1:17" ht="15" thickBot="1" x14ac:dyDescent="0.25">
      <c r="A18">
        <v>1</v>
      </c>
      <c r="B18">
        <v>0.48699999999999999</v>
      </c>
      <c r="C18">
        <v>0.38500000000000001</v>
      </c>
      <c r="D18">
        <v>0.28399999999999997</v>
      </c>
      <c r="G18" s="1">
        <v>14</v>
      </c>
      <c r="H18" s="1">
        <v>0.47</v>
      </c>
      <c r="I18" s="1">
        <v>0.35399999999999998</v>
      </c>
      <c r="J18" s="1">
        <v>0.27600000000000002</v>
      </c>
      <c r="K18" s="1">
        <v>0.4355</v>
      </c>
      <c r="L18" s="1">
        <v>0.33900000000000002</v>
      </c>
      <c r="M18" s="1">
        <v>0.26750000000000002</v>
      </c>
      <c r="N18" s="1">
        <v>5.6800000000000003E-2</v>
      </c>
      <c r="O18" s="1">
        <v>0.27539999999999998</v>
      </c>
      <c r="P18" s="1">
        <v>1.377</v>
      </c>
      <c r="Q18" s="1" t="s">
        <v>61</v>
      </c>
    </row>
    <row r="19" spans="1:17" ht="15" thickBot="1" x14ac:dyDescent="0.25">
      <c r="A19">
        <v>2</v>
      </c>
      <c r="B19">
        <v>0.58399999999999996</v>
      </c>
      <c r="C19">
        <v>0.47499999999999998</v>
      </c>
      <c r="D19">
        <v>0.37</v>
      </c>
      <c r="G19" s="1">
        <v>15</v>
      </c>
      <c r="H19" s="1">
        <v>0.41070000000000001</v>
      </c>
      <c r="I19" s="1">
        <v>0.35070000000000001</v>
      </c>
      <c r="J19" s="1">
        <v>0.26629999999999998</v>
      </c>
      <c r="K19" s="1">
        <v>0.37619999999999998</v>
      </c>
      <c r="L19" s="1">
        <v>0.3357</v>
      </c>
      <c r="M19" s="1">
        <v>0.25779999999999997</v>
      </c>
      <c r="N19" s="1">
        <v>3.5099999999999999E-2</v>
      </c>
      <c r="O19" s="1">
        <v>0.2918</v>
      </c>
      <c r="P19" s="1">
        <v>1.4590000000000001</v>
      </c>
      <c r="Q19" s="1" t="s">
        <v>61</v>
      </c>
    </row>
    <row r="20" spans="1:17" ht="15" thickBot="1" x14ac:dyDescent="0.25">
      <c r="A20">
        <v>3</v>
      </c>
      <c r="B20">
        <v>0.624</v>
      </c>
      <c r="C20">
        <v>0.38100000000000001</v>
      </c>
      <c r="D20">
        <v>0.20799999999999999</v>
      </c>
      <c r="G20" s="9">
        <v>16</v>
      </c>
      <c r="H20" s="9">
        <v>0.378</v>
      </c>
      <c r="I20" s="9">
        <v>0.22600000000000001</v>
      </c>
      <c r="J20" s="9">
        <v>0.15570000000000001</v>
      </c>
      <c r="K20" s="9">
        <v>0.34350000000000003</v>
      </c>
      <c r="L20" s="9">
        <v>0.21099999999999999</v>
      </c>
      <c r="M20" s="9">
        <v>0.1472</v>
      </c>
      <c r="N20" s="9">
        <v>0.13819999999999999</v>
      </c>
      <c r="O20" s="9">
        <v>0.21920000000000001</v>
      </c>
      <c r="P20" s="9">
        <v>1.0958000000000001</v>
      </c>
      <c r="Q20" s="9" t="s">
        <v>61</v>
      </c>
    </row>
    <row r="21" spans="1:17" x14ac:dyDescent="0.2">
      <c r="A21" t="s">
        <v>5</v>
      </c>
      <c r="B21" t="s">
        <v>47</v>
      </c>
      <c r="C21" t="s">
        <v>48</v>
      </c>
      <c r="D21" t="s">
        <v>49</v>
      </c>
    </row>
    <row r="22" spans="1:17" x14ac:dyDescent="0.2">
      <c r="A22">
        <v>1</v>
      </c>
      <c r="B22">
        <v>0.69499999999999995</v>
      </c>
      <c r="C22">
        <v>0.41799999999999998</v>
      </c>
      <c r="D22">
        <v>0.17399999999999999</v>
      </c>
      <c r="G22" s="28" t="s">
        <v>66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</row>
    <row r="23" spans="1:17" x14ac:dyDescent="0.2">
      <c r="A23">
        <v>2</v>
      </c>
      <c r="B23">
        <v>0.53700000000000003</v>
      </c>
      <c r="C23">
        <v>0.44</v>
      </c>
      <c r="D23">
        <v>0.36399999999999999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</row>
    <row r="24" spans="1:17" x14ac:dyDescent="0.2">
      <c r="A24">
        <v>3</v>
      </c>
      <c r="B24">
        <v>0.36299999999999999</v>
      </c>
      <c r="C24">
        <v>0.25600000000000001</v>
      </c>
      <c r="D24">
        <v>0.186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</row>
    <row r="25" spans="1:17" x14ac:dyDescent="0.2">
      <c r="A25" t="s">
        <v>6</v>
      </c>
      <c r="B25" t="s">
        <v>47</v>
      </c>
      <c r="C25" t="s">
        <v>48</v>
      </c>
      <c r="D25" t="s">
        <v>49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</row>
    <row r="26" spans="1:17" x14ac:dyDescent="0.2">
      <c r="A26">
        <v>1</v>
      </c>
      <c r="B26">
        <v>0.29199999999999998</v>
      </c>
      <c r="C26">
        <v>0.20799999999999999</v>
      </c>
      <c r="D26">
        <v>0.158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</row>
    <row r="27" spans="1:17" x14ac:dyDescent="0.2">
      <c r="A27">
        <v>2</v>
      </c>
      <c r="B27">
        <v>0.21199999999999999</v>
      </c>
      <c r="C27">
        <v>0.16200000000000001</v>
      </c>
      <c r="D27">
        <v>0.13100000000000001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</row>
    <row r="28" spans="1:17" x14ac:dyDescent="0.2">
      <c r="A28">
        <v>3</v>
      </c>
      <c r="B28">
        <v>0.26100000000000001</v>
      </c>
      <c r="C28">
        <v>0.218</v>
      </c>
      <c r="D28">
        <v>0.17100000000000001</v>
      </c>
    </row>
    <row r="29" spans="1:17" x14ac:dyDescent="0.2">
      <c r="A29" t="s">
        <v>8</v>
      </c>
      <c r="B29" t="s">
        <v>47</v>
      </c>
      <c r="C29" t="s">
        <v>48</v>
      </c>
      <c r="D29" t="s">
        <v>49</v>
      </c>
    </row>
    <row r="30" spans="1:17" x14ac:dyDescent="0.2">
      <c r="A30">
        <v>1</v>
      </c>
      <c r="B30">
        <v>0.34899999999999998</v>
      </c>
      <c r="C30">
        <v>0.22800000000000001</v>
      </c>
      <c r="D30">
        <v>0.16</v>
      </c>
    </row>
    <row r="31" spans="1:17" x14ac:dyDescent="0.2">
      <c r="A31">
        <v>2</v>
      </c>
      <c r="B31">
        <v>0.28399999999999997</v>
      </c>
      <c r="C31">
        <v>0.20300000000000001</v>
      </c>
      <c r="D31">
        <v>0.13100000000000001</v>
      </c>
    </row>
    <row r="32" spans="1:17" x14ac:dyDescent="0.2">
      <c r="A32">
        <v>3</v>
      </c>
      <c r="B32">
        <v>0.54400000000000004</v>
      </c>
      <c r="C32">
        <v>0.32600000000000001</v>
      </c>
      <c r="D32">
        <v>0.20300000000000001</v>
      </c>
    </row>
    <row r="33" spans="1:4" x14ac:dyDescent="0.2">
      <c r="A33" t="s">
        <v>9</v>
      </c>
      <c r="B33" t="s">
        <v>47</v>
      </c>
      <c r="C33" t="s">
        <v>48</v>
      </c>
      <c r="D33" t="s">
        <v>49</v>
      </c>
    </row>
    <row r="34" spans="1:4" x14ac:dyDescent="0.2">
      <c r="A34">
        <v>1</v>
      </c>
      <c r="B34">
        <v>0.253</v>
      </c>
      <c r="C34">
        <v>0.23</v>
      </c>
      <c r="D34">
        <v>0.216</v>
      </c>
    </row>
    <row r="35" spans="1:4" x14ac:dyDescent="0.2">
      <c r="A35">
        <v>2</v>
      </c>
      <c r="B35">
        <v>0.4</v>
      </c>
      <c r="C35">
        <v>0.28299999999999997</v>
      </c>
      <c r="D35">
        <v>0.191</v>
      </c>
    </row>
    <row r="36" spans="1:4" x14ac:dyDescent="0.2">
      <c r="A36">
        <v>3</v>
      </c>
      <c r="B36">
        <v>0.40400000000000003</v>
      </c>
      <c r="C36">
        <v>0.28799999999999998</v>
      </c>
      <c r="D36">
        <v>0.20599999999999999</v>
      </c>
    </row>
    <row r="37" spans="1:4" x14ac:dyDescent="0.2">
      <c r="A37" t="s">
        <v>10</v>
      </c>
      <c r="B37" t="s">
        <v>47</v>
      </c>
      <c r="C37" t="s">
        <v>48</v>
      </c>
      <c r="D37" t="s">
        <v>49</v>
      </c>
    </row>
    <row r="38" spans="1:4" x14ac:dyDescent="0.2">
      <c r="A38">
        <v>1</v>
      </c>
      <c r="B38">
        <v>0.33400000000000002</v>
      </c>
      <c r="C38">
        <v>0.21</v>
      </c>
      <c r="D38">
        <v>0.13700000000000001</v>
      </c>
    </row>
    <row r="39" spans="1:4" x14ac:dyDescent="0.2">
      <c r="A39">
        <v>2</v>
      </c>
      <c r="B39">
        <v>0.51</v>
      </c>
      <c r="C39">
        <v>0.37</v>
      </c>
      <c r="D39">
        <v>0.26900000000000002</v>
      </c>
    </row>
    <row r="40" spans="1:4" x14ac:dyDescent="0.2">
      <c r="A40">
        <v>3</v>
      </c>
      <c r="B40">
        <v>0.47799999999999998</v>
      </c>
      <c r="C40">
        <v>0.312</v>
      </c>
      <c r="D40">
        <v>0.21099999999999999</v>
      </c>
    </row>
    <row r="41" spans="1:4" x14ac:dyDescent="0.2">
      <c r="A41" t="s">
        <v>11</v>
      </c>
      <c r="B41" t="s">
        <v>47</v>
      </c>
      <c r="C41" t="s">
        <v>48</v>
      </c>
      <c r="D41" t="s">
        <v>49</v>
      </c>
    </row>
    <row r="42" spans="1:4" x14ac:dyDescent="0.2">
      <c r="A42">
        <v>1</v>
      </c>
      <c r="B42">
        <v>0.33200000000000002</v>
      </c>
      <c r="C42">
        <v>0.20699999999999999</v>
      </c>
      <c r="D42">
        <v>0.14299999999999999</v>
      </c>
    </row>
    <row r="43" spans="1:4" x14ac:dyDescent="0.2">
      <c r="A43">
        <v>2</v>
      </c>
      <c r="B43">
        <v>0.35099999999999998</v>
      </c>
      <c r="C43">
        <v>0.24199999999999999</v>
      </c>
      <c r="D43">
        <v>0.16600000000000001</v>
      </c>
    </row>
    <row r="44" spans="1:4" x14ac:dyDescent="0.2">
      <c r="A44">
        <v>3</v>
      </c>
      <c r="B44">
        <v>0.28799999999999998</v>
      </c>
      <c r="C44">
        <v>0.14399999999999999</v>
      </c>
      <c r="D44">
        <v>0.108</v>
      </c>
    </row>
    <row r="45" spans="1:4" x14ac:dyDescent="0.2">
      <c r="A45" t="s">
        <v>12</v>
      </c>
      <c r="B45" t="s">
        <v>47</v>
      </c>
      <c r="C45" t="s">
        <v>48</v>
      </c>
      <c r="D45" t="s">
        <v>49</v>
      </c>
    </row>
    <row r="46" spans="1:4" x14ac:dyDescent="0.2">
      <c r="A46">
        <v>1</v>
      </c>
      <c r="B46">
        <v>0.35899999999999999</v>
      </c>
      <c r="C46">
        <v>0.23</v>
      </c>
      <c r="D46">
        <v>0.17399999999999999</v>
      </c>
    </row>
    <row r="47" spans="1:4" x14ac:dyDescent="0.2">
      <c r="A47">
        <v>2</v>
      </c>
      <c r="B47">
        <v>0.40799999999999997</v>
      </c>
      <c r="C47">
        <v>0.30099999999999999</v>
      </c>
      <c r="D47">
        <v>0.224</v>
      </c>
    </row>
    <row r="48" spans="1:4" x14ac:dyDescent="0.2">
      <c r="A48">
        <v>3</v>
      </c>
      <c r="B48">
        <v>0.372</v>
      </c>
      <c r="C48">
        <v>0.27100000000000002</v>
      </c>
      <c r="D48">
        <v>0.20300000000000001</v>
      </c>
    </row>
    <row r="49" spans="1:4" x14ac:dyDescent="0.2">
      <c r="A49" t="s">
        <v>13</v>
      </c>
      <c r="B49" t="s">
        <v>47</v>
      </c>
      <c r="C49" t="s">
        <v>48</v>
      </c>
      <c r="D49" t="s">
        <v>49</v>
      </c>
    </row>
    <row r="50" spans="1:4" x14ac:dyDescent="0.2">
      <c r="A50">
        <v>1</v>
      </c>
      <c r="B50">
        <v>0.42199999999999999</v>
      </c>
      <c r="C50">
        <v>0.29799999999999999</v>
      </c>
      <c r="D50">
        <v>0.26600000000000001</v>
      </c>
    </row>
    <row r="51" spans="1:4" x14ac:dyDescent="0.2">
      <c r="A51">
        <v>2</v>
      </c>
      <c r="B51">
        <v>0.43099999999999999</v>
      </c>
      <c r="C51">
        <v>0.308</v>
      </c>
      <c r="D51">
        <v>0.2</v>
      </c>
    </row>
    <row r="52" spans="1:4" x14ac:dyDescent="0.2">
      <c r="A52">
        <v>3</v>
      </c>
      <c r="B52">
        <v>0.46500000000000002</v>
      </c>
      <c r="C52">
        <v>0.29499999999999998</v>
      </c>
      <c r="D52">
        <v>0.20200000000000001</v>
      </c>
    </row>
    <row r="53" spans="1:4" x14ac:dyDescent="0.2">
      <c r="A53" t="s">
        <v>14</v>
      </c>
      <c r="B53" t="s">
        <v>47</v>
      </c>
      <c r="C53" t="s">
        <v>48</v>
      </c>
      <c r="D53" t="s">
        <v>49</v>
      </c>
    </row>
    <row r="54" spans="1:4" x14ac:dyDescent="0.2">
      <c r="A54">
        <v>1</v>
      </c>
      <c r="B54">
        <v>0.51300000000000001</v>
      </c>
      <c r="C54">
        <v>0.38400000000000001</v>
      </c>
      <c r="D54">
        <v>0.222</v>
      </c>
    </row>
    <row r="55" spans="1:4" x14ac:dyDescent="0.2">
      <c r="A55">
        <v>2</v>
      </c>
      <c r="B55">
        <v>0.53900000000000003</v>
      </c>
      <c r="C55">
        <v>0.36299999999999999</v>
      </c>
      <c r="D55">
        <v>0.26700000000000002</v>
      </c>
    </row>
    <row r="56" spans="1:4" x14ac:dyDescent="0.2">
      <c r="A56">
        <v>3</v>
      </c>
      <c r="B56">
        <v>0.47899999999999998</v>
      </c>
      <c r="C56">
        <v>0.36099999999999999</v>
      </c>
      <c r="D56">
        <v>0.27800000000000002</v>
      </c>
    </row>
    <row r="57" spans="1:4" x14ac:dyDescent="0.2">
      <c r="A57" t="s">
        <v>15</v>
      </c>
      <c r="B57" t="s">
        <v>47</v>
      </c>
      <c r="C57" t="s">
        <v>48</v>
      </c>
      <c r="D57" t="s">
        <v>49</v>
      </c>
    </row>
    <row r="58" spans="1:4" x14ac:dyDescent="0.2">
      <c r="A58">
        <v>1</v>
      </c>
      <c r="B58">
        <v>0.47699999999999998</v>
      </c>
      <c r="C58">
        <v>0.308</v>
      </c>
      <c r="D58">
        <v>0.17299999999999999</v>
      </c>
    </row>
    <row r="59" spans="1:4" x14ac:dyDescent="0.2">
      <c r="A59">
        <v>2</v>
      </c>
      <c r="B59">
        <v>0.53200000000000003</v>
      </c>
      <c r="C59">
        <v>0.41199999999999998</v>
      </c>
      <c r="D59">
        <v>0.35</v>
      </c>
    </row>
    <row r="60" spans="1:4" x14ac:dyDescent="0.2">
      <c r="A60">
        <v>3</v>
      </c>
      <c r="B60">
        <v>0.40100000000000002</v>
      </c>
      <c r="C60">
        <v>0.34200000000000003</v>
      </c>
      <c r="D60">
        <v>0.30499999999999999</v>
      </c>
    </row>
    <row r="61" spans="1:4" x14ac:dyDescent="0.2">
      <c r="A61" t="s">
        <v>16</v>
      </c>
      <c r="B61" t="s">
        <v>47</v>
      </c>
      <c r="C61" t="s">
        <v>48</v>
      </c>
      <c r="D61" t="s">
        <v>49</v>
      </c>
    </row>
    <row r="62" spans="1:4" x14ac:dyDescent="0.2">
      <c r="A62">
        <v>1</v>
      </c>
      <c r="B62">
        <v>0.443</v>
      </c>
      <c r="C62">
        <v>0.36799999999999999</v>
      </c>
      <c r="D62">
        <v>0.26800000000000002</v>
      </c>
    </row>
    <row r="63" spans="1:4" x14ac:dyDescent="0.2">
      <c r="A63">
        <v>2</v>
      </c>
      <c r="B63">
        <v>0.42599999999999999</v>
      </c>
      <c r="C63">
        <v>0.38300000000000001</v>
      </c>
      <c r="D63">
        <v>0.28999999999999998</v>
      </c>
    </row>
    <row r="64" spans="1:4" x14ac:dyDescent="0.2">
      <c r="A64">
        <v>3</v>
      </c>
      <c r="B64">
        <v>0.36299999999999999</v>
      </c>
      <c r="C64">
        <v>0.30099999999999999</v>
      </c>
      <c r="D64">
        <v>0.24099999999999999</v>
      </c>
    </row>
    <row r="65" spans="1:4" x14ac:dyDescent="0.2">
      <c r="A65" t="s">
        <v>17</v>
      </c>
      <c r="B65" t="s">
        <v>47</v>
      </c>
      <c r="C65" t="s">
        <v>48</v>
      </c>
      <c r="D65" t="s">
        <v>49</v>
      </c>
    </row>
    <row r="66" spans="1:4" x14ac:dyDescent="0.2">
      <c r="A66">
        <v>1</v>
      </c>
      <c r="B66">
        <v>0.36</v>
      </c>
      <c r="C66">
        <v>0.19800000000000001</v>
      </c>
      <c r="D66">
        <v>0.13700000000000001</v>
      </c>
    </row>
    <row r="67" spans="1:4" x14ac:dyDescent="0.2">
      <c r="A67">
        <v>2</v>
      </c>
      <c r="B67">
        <v>0.40600000000000003</v>
      </c>
      <c r="C67">
        <v>0.27100000000000002</v>
      </c>
      <c r="D67">
        <v>0.17399999999999999</v>
      </c>
    </row>
    <row r="68" spans="1:4" x14ac:dyDescent="0.2">
      <c r="A68">
        <v>3</v>
      </c>
      <c r="B68">
        <v>0.36799999999999999</v>
      </c>
      <c r="C68">
        <v>0.20899999999999999</v>
      </c>
      <c r="D68">
        <v>0.156</v>
      </c>
    </row>
  </sheetData>
  <mergeCells count="1">
    <mergeCell ref="G22:Q27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8894-BCDA-4901-A578-EF6CFD274189}">
  <dimension ref="A1:O65"/>
  <sheetViews>
    <sheetView zoomScale="130" zoomScaleNormal="130" workbookViewId="0">
      <selection activeCell="O12" sqref="O12:O14"/>
    </sheetView>
  </sheetViews>
  <sheetFormatPr defaultRowHeight="14.25" x14ac:dyDescent="0.2"/>
  <cols>
    <col min="1" max="1" width="13" bestFit="1" customWidth="1"/>
  </cols>
  <sheetData>
    <row r="1" spans="1:15" ht="15" thickBot="1" x14ac:dyDescent="0.25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15" ht="58.5" thickBot="1" x14ac:dyDescent="0.25">
      <c r="A2" t="s">
        <v>1</v>
      </c>
      <c r="G2" s="2" t="s">
        <v>18</v>
      </c>
      <c r="H2" s="2" t="s">
        <v>298</v>
      </c>
      <c r="I2" s="2" t="s">
        <v>299</v>
      </c>
      <c r="J2" s="2" t="s">
        <v>300</v>
      </c>
      <c r="K2" s="2" t="s">
        <v>301</v>
      </c>
      <c r="L2" s="2" t="s">
        <v>302</v>
      </c>
      <c r="M2" s="2" t="s">
        <v>303</v>
      </c>
      <c r="N2" s="2" t="s">
        <v>307</v>
      </c>
      <c r="O2" s="2" t="s">
        <v>304</v>
      </c>
    </row>
    <row r="3" spans="1:15" ht="15" thickBot="1" x14ac:dyDescent="0.25">
      <c r="A3">
        <v>1</v>
      </c>
      <c r="B3">
        <v>6.8000000000000005E-2</v>
      </c>
      <c r="C3">
        <v>0.16200000000000001</v>
      </c>
      <c r="D3">
        <v>0.32800000000000001</v>
      </c>
      <c r="E3">
        <v>0.497</v>
      </c>
      <c r="G3" s="1">
        <v>1</v>
      </c>
      <c r="H3" s="1">
        <v>0.49</v>
      </c>
      <c r="I3" s="1">
        <v>0.52</v>
      </c>
      <c r="J3" s="1">
        <v>0.55000000000000004</v>
      </c>
      <c r="K3" s="1">
        <v>49</v>
      </c>
      <c r="L3" s="1">
        <v>52</v>
      </c>
      <c r="M3" s="1">
        <v>55</v>
      </c>
      <c r="N3" s="1" t="s">
        <v>94</v>
      </c>
      <c r="O3" s="1" t="s">
        <v>61</v>
      </c>
    </row>
    <row r="4" spans="1:15" ht="15" thickBot="1" x14ac:dyDescent="0.25">
      <c r="A4">
        <v>2</v>
      </c>
      <c r="B4">
        <v>5.6000000000000001E-2</v>
      </c>
      <c r="C4">
        <v>0.161</v>
      </c>
      <c r="D4">
        <v>0.26100000000000001</v>
      </c>
      <c r="E4">
        <v>0.42799999999999999</v>
      </c>
      <c r="G4" s="1">
        <v>2</v>
      </c>
      <c r="H4" s="1">
        <v>0.34</v>
      </c>
      <c r="I4" s="1">
        <v>0.38</v>
      </c>
      <c r="J4" s="1">
        <v>0.42</v>
      </c>
      <c r="K4" s="1">
        <v>34</v>
      </c>
      <c r="L4" s="1">
        <v>38</v>
      </c>
      <c r="M4" s="1">
        <v>42</v>
      </c>
      <c r="N4" s="1" t="s">
        <v>98</v>
      </c>
      <c r="O4" s="1" t="s">
        <v>62</v>
      </c>
    </row>
    <row r="5" spans="1:15" ht="15" thickBot="1" x14ac:dyDescent="0.25">
      <c r="A5">
        <v>3</v>
      </c>
      <c r="B5">
        <v>3.5000000000000003E-2</v>
      </c>
      <c r="C5">
        <v>0.128</v>
      </c>
      <c r="D5">
        <v>0.23699999999999999</v>
      </c>
      <c r="E5">
        <v>0.41899999999999998</v>
      </c>
      <c r="G5" s="1">
        <v>3</v>
      </c>
      <c r="H5" s="1">
        <v>0.66</v>
      </c>
      <c r="I5" s="1">
        <v>0.68</v>
      </c>
      <c r="J5" s="1">
        <v>0.7</v>
      </c>
      <c r="K5" s="1">
        <v>66</v>
      </c>
      <c r="L5" s="1">
        <v>68</v>
      </c>
      <c r="M5" s="1">
        <v>70</v>
      </c>
      <c r="N5" s="1" t="s">
        <v>102</v>
      </c>
      <c r="O5" s="1" t="s">
        <v>63</v>
      </c>
    </row>
    <row r="6" spans="1:15" ht="15" thickBot="1" x14ac:dyDescent="0.25">
      <c r="A6" t="s">
        <v>2</v>
      </c>
      <c r="B6" t="s">
        <v>68</v>
      </c>
      <c r="C6" t="s">
        <v>69</v>
      </c>
      <c r="D6" t="s">
        <v>70</v>
      </c>
      <c r="E6" t="s">
        <v>71</v>
      </c>
      <c r="G6" s="1">
        <v>4</v>
      </c>
      <c r="H6" s="1">
        <v>0.32</v>
      </c>
      <c r="I6" s="1">
        <v>0.35</v>
      </c>
      <c r="J6" s="1">
        <v>0.38</v>
      </c>
      <c r="K6" s="1">
        <v>32</v>
      </c>
      <c r="L6" s="1">
        <v>35</v>
      </c>
      <c r="M6" s="1">
        <v>38</v>
      </c>
      <c r="N6" s="1" t="s">
        <v>106</v>
      </c>
      <c r="O6" s="1" t="s">
        <v>62</v>
      </c>
    </row>
    <row r="7" spans="1:15" ht="15" thickBot="1" x14ac:dyDescent="0.25">
      <c r="A7">
        <v>1</v>
      </c>
      <c r="B7">
        <v>2.1000000000000001E-2</v>
      </c>
      <c r="C7">
        <v>0.20200000000000001</v>
      </c>
      <c r="D7">
        <v>0.38300000000000001</v>
      </c>
      <c r="E7">
        <v>0.48299999999999998</v>
      </c>
      <c r="G7" s="1">
        <v>5</v>
      </c>
      <c r="H7" s="1">
        <v>0.28999999999999998</v>
      </c>
      <c r="I7" s="1">
        <v>0.32</v>
      </c>
      <c r="J7" s="1">
        <v>0.35</v>
      </c>
      <c r="K7" s="1">
        <v>29</v>
      </c>
      <c r="L7" s="1">
        <v>32</v>
      </c>
      <c r="M7" s="1">
        <v>35</v>
      </c>
      <c r="N7" s="1" t="s">
        <v>99</v>
      </c>
      <c r="O7" s="1" t="s">
        <v>62</v>
      </c>
    </row>
    <row r="8" spans="1:15" ht="15" thickBot="1" x14ac:dyDescent="0.25">
      <c r="A8">
        <v>2</v>
      </c>
      <c r="B8">
        <v>1.7999999999999999E-2</v>
      </c>
      <c r="C8">
        <v>0.184</v>
      </c>
      <c r="D8">
        <v>0.34100000000000003</v>
      </c>
      <c r="E8">
        <v>0.432</v>
      </c>
      <c r="G8" s="1">
        <v>6</v>
      </c>
      <c r="H8" s="1">
        <v>0.63</v>
      </c>
      <c r="I8" s="1">
        <v>0.65</v>
      </c>
      <c r="J8" s="1">
        <v>0.67</v>
      </c>
      <c r="K8" s="1">
        <v>63</v>
      </c>
      <c r="L8" s="1">
        <v>65</v>
      </c>
      <c r="M8" s="1">
        <v>67</v>
      </c>
      <c r="N8" s="1" t="s">
        <v>113</v>
      </c>
      <c r="O8" s="1" t="s">
        <v>63</v>
      </c>
    </row>
    <row r="9" spans="1:15" ht="15" thickBot="1" x14ac:dyDescent="0.25">
      <c r="A9">
        <v>3</v>
      </c>
      <c r="B9">
        <v>0.05</v>
      </c>
      <c r="C9">
        <v>0.38300000000000001</v>
      </c>
      <c r="D9">
        <v>0.60199999999999998</v>
      </c>
      <c r="E9">
        <v>0.68600000000000005</v>
      </c>
      <c r="G9" s="1">
        <v>7</v>
      </c>
      <c r="H9" s="1">
        <v>0.48</v>
      </c>
      <c r="I9" s="1">
        <v>0.5</v>
      </c>
      <c r="J9" s="1">
        <v>0.52</v>
      </c>
      <c r="K9" s="1">
        <v>48</v>
      </c>
      <c r="L9" s="1">
        <v>50</v>
      </c>
      <c r="M9" s="1">
        <v>52</v>
      </c>
      <c r="N9" s="1" t="s">
        <v>117</v>
      </c>
      <c r="O9" s="1" t="s">
        <v>61</v>
      </c>
    </row>
    <row r="10" spans="1:15" ht="15" thickBot="1" x14ac:dyDescent="0.25">
      <c r="A10" t="s">
        <v>3</v>
      </c>
      <c r="B10" t="s">
        <v>68</v>
      </c>
      <c r="C10" t="s">
        <v>69</v>
      </c>
      <c r="D10" t="s">
        <v>70</v>
      </c>
      <c r="E10" t="s">
        <v>71</v>
      </c>
      <c r="G10" s="1">
        <v>8</v>
      </c>
      <c r="H10" s="1">
        <v>0.53</v>
      </c>
      <c r="I10" s="1">
        <v>0.55000000000000004</v>
      </c>
      <c r="J10" s="1">
        <v>0.56999999999999995</v>
      </c>
      <c r="K10" s="1">
        <v>53</v>
      </c>
      <c r="L10" s="1">
        <v>55</v>
      </c>
      <c r="M10" s="1">
        <v>57</v>
      </c>
      <c r="N10" s="1" t="s">
        <v>114</v>
      </c>
      <c r="O10" s="1" t="s">
        <v>61</v>
      </c>
    </row>
    <row r="11" spans="1:15" ht="15" thickBot="1" x14ac:dyDescent="0.25">
      <c r="A11">
        <v>1</v>
      </c>
      <c r="B11">
        <v>2.4E-2</v>
      </c>
      <c r="C11">
        <v>0.34899999999999998</v>
      </c>
      <c r="D11">
        <v>0.626</v>
      </c>
      <c r="E11">
        <v>0.874</v>
      </c>
      <c r="G11" s="1">
        <v>9</v>
      </c>
      <c r="H11" s="1">
        <v>0.56999999999999995</v>
      </c>
      <c r="I11" s="1">
        <v>0.6</v>
      </c>
      <c r="J11" s="1">
        <v>0.63</v>
      </c>
      <c r="K11" s="1">
        <v>57</v>
      </c>
      <c r="L11" s="1">
        <v>60</v>
      </c>
      <c r="M11" s="1">
        <v>63</v>
      </c>
      <c r="N11" s="1" t="s">
        <v>124</v>
      </c>
      <c r="O11" s="1" t="s">
        <v>61</v>
      </c>
    </row>
    <row r="12" spans="1:15" ht="15" thickBot="1" x14ac:dyDescent="0.25">
      <c r="A12">
        <v>2</v>
      </c>
      <c r="B12">
        <v>2.7E-2</v>
      </c>
      <c r="C12">
        <v>0.251</v>
      </c>
      <c r="D12">
        <v>0.55800000000000005</v>
      </c>
      <c r="E12">
        <v>0.83099999999999996</v>
      </c>
      <c r="G12" s="1">
        <v>10</v>
      </c>
      <c r="H12" s="1">
        <v>0.46</v>
      </c>
      <c r="I12" s="1">
        <v>0.48</v>
      </c>
      <c r="J12" s="1">
        <v>0.5</v>
      </c>
      <c r="K12" s="1">
        <v>46</v>
      </c>
      <c r="L12" s="1">
        <v>48</v>
      </c>
      <c r="M12" s="1">
        <v>50</v>
      </c>
      <c r="N12" s="1" t="s">
        <v>125</v>
      </c>
      <c r="O12" s="1" t="s">
        <v>61</v>
      </c>
    </row>
    <row r="13" spans="1:15" ht="15" thickBot="1" x14ac:dyDescent="0.25">
      <c r="A13">
        <v>3</v>
      </c>
      <c r="B13">
        <v>0.04</v>
      </c>
      <c r="C13">
        <v>0.54200000000000004</v>
      </c>
      <c r="D13">
        <v>0.86299999999999999</v>
      </c>
      <c r="E13">
        <v>1.2010000000000001</v>
      </c>
      <c r="G13" s="1">
        <v>11</v>
      </c>
      <c r="H13" s="1">
        <v>0.56000000000000005</v>
      </c>
      <c r="I13" s="1">
        <v>0.57999999999999996</v>
      </c>
      <c r="J13" s="1">
        <v>0.6</v>
      </c>
      <c r="K13" s="1">
        <v>56</v>
      </c>
      <c r="L13" s="1">
        <v>58</v>
      </c>
      <c r="M13" s="1">
        <v>60</v>
      </c>
      <c r="N13" s="1" t="s">
        <v>103</v>
      </c>
      <c r="O13" s="1" t="s">
        <v>61</v>
      </c>
    </row>
    <row r="14" spans="1:15" ht="15" thickBot="1" x14ac:dyDescent="0.25">
      <c r="A14" t="s">
        <v>4</v>
      </c>
      <c r="B14" t="s">
        <v>68</v>
      </c>
      <c r="C14" t="s">
        <v>69</v>
      </c>
      <c r="D14" t="s">
        <v>70</v>
      </c>
      <c r="E14" t="s">
        <v>71</v>
      </c>
      <c r="G14" s="1">
        <v>12</v>
      </c>
      <c r="H14" s="1">
        <v>0.79</v>
      </c>
      <c r="I14" s="1">
        <v>0.82</v>
      </c>
      <c r="J14" s="1">
        <v>0.85</v>
      </c>
      <c r="K14" s="1">
        <v>79</v>
      </c>
      <c r="L14" s="1">
        <v>82</v>
      </c>
      <c r="M14" s="1">
        <v>85</v>
      </c>
      <c r="N14" s="1" t="s">
        <v>133</v>
      </c>
      <c r="O14" s="1" t="s">
        <v>63</v>
      </c>
    </row>
    <row r="15" spans="1:15" ht="15" thickBot="1" x14ac:dyDescent="0.25">
      <c r="A15">
        <v>1</v>
      </c>
      <c r="B15">
        <v>2.9000000000000001E-2</v>
      </c>
      <c r="C15">
        <v>0.62</v>
      </c>
      <c r="D15">
        <v>0.92600000000000005</v>
      </c>
      <c r="E15">
        <v>1.22</v>
      </c>
      <c r="G15" s="1">
        <v>13</v>
      </c>
      <c r="H15" s="1">
        <v>0.27</v>
      </c>
      <c r="I15" s="1">
        <v>0.3</v>
      </c>
      <c r="J15" s="1">
        <v>0.33</v>
      </c>
      <c r="K15" s="1">
        <v>27</v>
      </c>
      <c r="L15" s="1">
        <v>30</v>
      </c>
      <c r="M15" s="1">
        <v>33</v>
      </c>
      <c r="N15" s="1" t="s">
        <v>305</v>
      </c>
      <c r="O15" s="1" t="s">
        <v>62</v>
      </c>
    </row>
    <row r="16" spans="1:15" ht="15" thickBot="1" x14ac:dyDescent="0.25">
      <c r="A16">
        <v>2</v>
      </c>
      <c r="B16">
        <v>0.03</v>
      </c>
      <c r="C16">
        <v>0.68300000000000005</v>
      </c>
      <c r="D16">
        <v>0.95099999999999996</v>
      </c>
      <c r="E16">
        <v>1.2430000000000001</v>
      </c>
      <c r="G16" s="1">
        <v>14</v>
      </c>
      <c r="H16" s="1">
        <v>0.42</v>
      </c>
      <c r="I16" s="1">
        <v>0.45</v>
      </c>
      <c r="J16" s="1">
        <v>0.48</v>
      </c>
      <c r="K16" s="1">
        <v>42</v>
      </c>
      <c r="L16" s="1">
        <v>45</v>
      </c>
      <c r="M16" s="1">
        <v>48</v>
      </c>
      <c r="N16" s="1" t="s">
        <v>306</v>
      </c>
      <c r="O16" s="1" t="s">
        <v>61</v>
      </c>
    </row>
    <row r="17" spans="1:15" ht="15" thickBot="1" x14ac:dyDescent="0.25">
      <c r="A17">
        <v>3</v>
      </c>
      <c r="B17">
        <v>4.1000000000000002E-2</v>
      </c>
      <c r="C17">
        <v>0.47399999999999998</v>
      </c>
      <c r="D17">
        <v>0.66900000000000004</v>
      </c>
      <c r="E17">
        <v>0.97899999999999998</v>
      </c>
      <c r="G17" s="1">
        <v>15</v>
      </c>
      <c r="H17" s="1">
        <v>0.73</v>
      </c>
      <c r="I17" s="1">
        <v>0.75</v>
      </c>
      <c r="J17" s="1">
        <v>0.77</v>
      </c>
      <c r="K17" s="1">
        <v>73</v>
      </c>
      <c r="L17" s="1">
        <v>75</v>
      </c>
      <c r="M17" s="1">
        <v>77</v>
      </c>
      <c r="N17" s="1" t="s">
        <v>135</v>
      </c>
      <c r="O17" s="1" t="s">
        <v>63</v>
      </c>
    </row>
    <row r="18" spans="1:15" ht="15" thickBot="1" x14ac:dyDescent="0.25">
      <c r="A18" t="s">
        <v>5</v>
      </c>
      <c r="B18" t="s">
        <v>68</v>
      </c>
      <c r="C18" t="s">
        <v>69</v>
      </c>
      <c r="D18" t="s">
        <v>70</v>
      </c>
      <c r="E18" t="s">
        <v>71</v>
      </c>
      <c r="G18" s="1">
        <v>16</v>
      </c>
      <c r="H18" s="1">
        <v>0.69</v>
      </c>
      <c r="I18" s="1">
        <v>0.72</v>
      </c>
      <c r="J18" s="1">
        <v>0.75</v>
      </c>
      <c r="K18" s="1">
        <v>69</v>
      </c>
      <c r="L18" s="1">
        <v>72</v>
      </c>
      <c r="M18" s="1">
        <v>75</v>
      </c>
      <c r="N18" s="1" t="s">
        <v>134</v>
      </c>
      <c r="O18" s="1" t="s">
        <v>63</v>
      </c>
    </row>
    <row r="19" spans="1:15" x14ac:dyDescent="0.2">
      <c r="A19">
        <v>1</v>
      </c>
      <c r="B19">
        <v>5.2999999999999999E-2</v>
      </c>
      <c r="C19">
        <v>0.53800000000000003</v>
      </c>
      <c r="D19">
        <v>0.91300000000000003</v>
      </c>
      <c r="E19">
        <v>1.1240000000000001</v>
      </c>
    </row>
    <row r="20" spans="1:15" ht="14.25" customHeight="1" x14ac:dyDescent="0.2">
      <c r="A20">
        <v>2</v>
      </c>
      <c r="B20">
        <v>4.2000000000000003E-2</v>
      </c>
      <c r="C20">
        <v>0.51600000000000001</v>
      </c>
      <c r="D20">
        <v>0.85699999999999998</v>
      </c>
      <c r="E20">
        <v>1.0660000000000001</v>
      </c>
      <c r="G20" s="11" t="s">
        <v>72</v>
      </c>
      <c r="H20" s="10"/>
      <c r="I20" s="10"/>
      <c r="J20" s="10"/>
      <c r="K20" s="10"/>
      <c r="L20" s="10"/>
    </row>
    <row r="21" spans="1:15" ht="14.25" customHeight="1" x14ac:dyDescent="2.8">
      <c r="A21">
        <v>3</v>
      </c>
      <c r="B21">
        <v>4.3999999999999997E-2</v>
      </c>
      <c r="C21">
        <v>0.55500000000000005</v>
      </c>
      <c r="D21">
        <v>0.84199999999999997</v>
      </c>
      <c r="E21">
        <v>1.135</v>
      </c>
      <c r="G21" s="13" t="s">
        <v>75</v>
      </c>
      <c r="H21" s="10"/>
      <c r="I21" s="10"/>
      <c r="J21" s="10"/>
      <c r="K21" s="10"/>
      <c r="L21" s="10"/>
    </row>
    <row r="22" spans="1:15" ht="14.25" customHeight="1" x14ac:dyDescent="0.2">
      <c r="A22" t="s">
        <v>6</v>
      </c>
      <c r="B22" t="s">
        <v>68</v>
      </c>
      <c r="C22" t="s">
        <v>69</v>
      </c>
      <c r="D22" t="s">
        <v>70</v>
      </c>
      <c r="E22" t="s">
        <v>71</v>
      </c>
      <c r="G22" s="12" t="s">
        <v>73</v>
      </c>
      <c r="H22" s="10"/>
      <c r="I22" s="10"/>
      <c r="J22" s="10"/>
      <c r="K22" s="10"/>
      <c r="L22" s="10"/>
    </row>
    <row r="23" spans="1:15" ht="14.25" customHeight="1" x14ac:dyDescent="0.2">
      <c r="A23">
        <v>1</v>
      </c>
      <c r="B23">
        <v>3.6999999999999998E-2</v>
      </c>
      <c r="C23">
        <v>0.39300000000000002</v>
      </c>
      <c r="D23">
        <v>0.80100000000000005</v>
      </c>
      <c r="E23">
        <v>0.97899999999999998</v>
      </c>
      <c r="G23" s="12" t="s">
        <v>74</v>
      </c>
      <c r="H23" s="10"/>
      <c r="I23" s="10"/>
      <c r="J23" s="10"/>
      <c r="K23" s="10"/>
      <c r="L23" s="10"/>
    </row>
    <row r="24" spans="1:15" ht="14.25" customHeight="1" x14ac:dyDescent="0.2">
      <c r="A24">
        <v>2</v>
      </c>
      <c r="B24">
        <v>0.03</v>
      </c>
      <c r="C24">
        <v>0.34200000000000003</v>
      </c>
      <c r="D24">
        <v>0.65600000000000003</v>
      </c>
      <c r="E24">
        <v>0.873</v>
      </c>
      <c r="G24" s="10"/>
      <c r="H24" s="10"/>
      <c r="I24" s="10"/>
      <c r="J24" s="10"/>
      <c r="K24" s="10"/>
      <c r="L24" s="10"/>
    </row>
    <row r="25" spans="1:15" ht="14.25" customHeight="1" x14ac:dyDescent="0.2">
      <c r="A25">
        <v>3</v>
      </c>
      <c r="B25">
        <v>6.3E-2</v>
      </c>
      <c r="C25">
        <v>0.51500000000000001</v>
      </c>
      <c r="D25">
        <v>0.874</v>
      </c>
      <c r="E25">
        <v>1.0620000000000001</v>
      </c>
      <c r="G25" s="10"/>
      <c r="H25" s="10"/>
      <c r="I25" s="10"/>
      <c r="J25" s="10"/>
      <c r="K25" s="10"/>
      <c r="L25" s="10"/>
    </row>
    <row r="26" spans="1:15" ht="14.25" customHeight="1" x14ac:dyDescent="0.2">
      <c r="A26" t="s">
        <v>8</v>
      </c>
      <c r="B26" t="s">
        <v>68</v>
      </c>
      <c r="C26" t="s">
        <v>69</v>
      </c>
      <c r="D26" t="s">
        <v>70</v>
      </c>
      <c r="E26" t="s">
        <v>71</v>
      </c>
      <c r="G26" s="10"/>
      <c r="H26" s="10"/>
      <c r="I26" s="10"/>
      <c r="J26" s="10"/>
      <c r="K26" s="10"/>
      <c r="L26" s="10"/>
    </row>
    <row r="27" spans="1:15" x14ac:dyDescent="0.2">
      <c r="A27">
        <v>1</v>
      </c>
      <c r="B27">
        <v>3.1E-2</v>
      </c>
      <c r="C27">
        <v>0.155</v>
      </c>
      <c r="D27">
        <v>0.76800000000000002</v>
      </c>
      <c r="E27">
        <v>1.012</v>
      </c>
    </row>
    <row r="28" spans="1:15" x14ac:dyDescent="0.2">
      <c r="A28">
        <v>2</v>
      </c>
      <c r="B28">
        <v>5.8999999999999997E-2</v>
      </c>
      <c r="C28">
        <v>0.70599999999999996</v>
      </c>
      <c r="D28">
        <v>1.355</v>
      </c>
      <c r="E28">
        <v>1.607</v>
      </c>
    </row>
    <row r="29" spans="1:15" x14ac:dyDescent="0.2">
      <c r="A29">
        <v>3</v>
      </c>
      <c r="B29">
        <v>7.8E-2</v>
      </c>
      <c r="C29">
        <v>0.93700000000000006</v>
      </c>
      <c r="D29">
        <v>1.581</v>
      </c>
      <c r="E29">
        <v>1.786</v>
      </c>
    </row>
    <row r="30" spans="1:15" x14ac:dyDescent="0.2">
      <c r="A30" t="s">
        <v>9</v>
      </c>
      <c r="B30" t="s">
        <v>68</v>
      </c>
      <c r="C30" t="s">
        <v>69</v>
      </c>
      <c r="D30" t="s">
        <v>70</v>
      </c>
      <c r="E30" t="s">
        <v>71</v>
      </c>
    </row>
    <row r="31" spans="1:15" x14ac:dyDescent="0.2">
      <c r="A31">
        <v>1</v>
      </c>
      <c r="B31">
        <v>2.5999999999999999E-2</v>
      </c>
      <c r="C31">
        <v>0.58699999999999997</v>
      </c>
      <c r="D31">
        <v>1.1080000000000001</v>
      </c>
      <c r="E31">
        <v>1.4810000000000001</v>
      </c>
    </row>
    <row r="32" spans="1:15" x14ac:dyDescent="0.2">
      <c r="A32">
        <v>2</v>
      </c>
      <c r="B32">
        <v>3.4000000000000002E-2</v>
      </c>
      <c r="C32">
        <v>0.60899999999999999</v>
      </c>
      <c r="D32">
        <v>1.0940000000000001</v>
      </c>
      <c r="E32">
        <v>1.4630000000000001</v>
      </c>
    </row>
    <row r="33" spans="1:5" x14ac:dyDescent="0.2">
      <c r="A33">
        <v>3</v>
      </c>
      <c r="B33">
        <v>2.9000000000000001E-2</v>
      </c>
      <c r="C33">
        <v>0.625</v>
      </c>
      <c r="D33">
        <v>1.091</v>
      </c>
      <c r="E33">
        <v>1.3939999999999999</v>
      </c>
    </row>
    <row r="34" spans="1:5" x14ac:dyDescent="0.2">
      <c r="A34" t="s">
        <v>10</v>
      </c>
      <c r="B34" t="s">
        <v>68</v>
      </c>
      <c r="C34" t="s">
        <v>69</v>
      </c>
      <c r="D34" t="s">
        <v>70</v>
      </c>
      <c r="E34" t="s">
        <v>71</v>
      </c>
    </row>
    <row r="35" spans="1:5" x14ac:dyDescent="0.2">
      <c r="A35">
        <v>1</v>
      </c>
      <c r="B35">
        <v>5.0999999999999997E-2</v>
      </c>
      <c r="C35">
        <v>0.54500000000000004</v>
      </c>
      <c r="D35">
        <v>1.012</v>
      </c>
      <c r="E35">
        <v>1.3360000000000001</v>
      </c>
    </row>
    <row r="36" spans="1:5" x14ac:dyDescent="0.2">
      <c r="A36">
        <v>2</v>
      </c>
      <c r="B36">
        <v>4.3999999999999997E-2</v>
      </c>
      <c r="C36">
        <v>0.47099999999999997</v>
      </c>
      <c r="D36">
        <v>0.94699999999999995</v>
      </c>
      <c r="E36">
        <v>1.208</v>
      </c>
    </row>
    <row r="37" spans="1:5" x14ac:dyDescent="0.2">
      <c r="A37">
        <v>3</v>
      </c>
      <c r="B37">
        <v>5.2999999999999999E-2</v>
      </c>
      <c r="C37">
        <v>0.875</v>
      </c>
      <c r="D37">
        <v>1.3859999999999999</v>
      </c>
      <c r="E37">
        <v>1.756</v>
      </c>
    </row>
    <row r="38" spans="1:5" x14ac:dyDescent="0.2">
      <c r="A38" t="s">
        <v>11</v>
      </c>
      <c r="B38" t="s">
        <v>68</v>
      </c>
      <c r="C38" t="s">
        <v>69</v>
      </c>
      <c r="D38" t="s">
        <v>70</v>
      </c>
      <c r="E38" t="s">
        <v>71</v>
      </c>
    </row>
    <row r="39" spans="1:5" x14ac:dyDescent="0.2">
      <c r="A39">
        <v>1</v>
      </c>
      <c r="B39">
        <v>3.1E-2</v>
      </c>
      <c r="C39">
        <v>0.47399999999999998</v>
      </c>
      <c r="D39">
        <v>0.94399999999999995</v>
      </c>
      <c r="E39">
        <v>1.2669999999999999</v>
      </c>
    </row>
    <row r="40" spans="1:5" x14ac:dyDescent="0.2">
      <c r="A40">
        <v>2</v>
      </c>
      <c r="B40">
        <v>3.6999999999999998E-2</v>
      </c>
      <c r="C40">
        <v>0.50800000000000001</v>
      </c>
      <c r="D40">
        <v>0.96699999999999997</v>
      </c>
      <c r="E40">
        <v>1.2689999999999999</v>
      </c>
    </row>
    <row r="41" spans="1:5" x14ac:dyDescent="0.2">
      <c r="A41">
        <v>3</v>
      </c>
      <c r="B41">
        <v>0.03</v>
      </c>
      <c r="C41">
        <v>0.46500000000000002</v>
      </c>
      <c r="D41">
        <v>0.88200000000000001</v>
      </c>
      <c r="E41">
        <v>1.1339999999999999</v>
      </c>
    </row>
    <row r="42" spans="1:5" x14ac:dyDescent="0.2">
      <c r="A42" t="s">
        <v>12</v>
      </c>
      <c r="B42" t="s">
        <v>68</v>
      </c>
      <c r="C42" t="s">
        <v>69</v>
      </c>
      <c r="D42" t="s">
        <v>70</v>
      </c>
      <c r="E42" t="s">
        <v>71</v>
      </c>
    </row>
    <row r="43" spans="1:5" x14ac:dyDescent="0.2">
      <c r="A43">
        <v>1</v>
      </c>
      <c r="B43">
        <v>0.04</v>
      </c>
      <c r="C43">
        <v>0.60899999999999999</v>
      </c>
      <c r="D43">
        <v>1.077</v>
      </c>
      <c r="E43">
        <v>1.415</v>
      </c>
    </row>
    <row r="44" spans="1:5" x14ac:dyDescent="0.2">
      <c r="A44">
        <v>2</v>
      </c>
      <c r="B44">
        <v>4.8000000000000001E-2</v>
      </c>
      <c r="C44">
        <v>0.49</v>
      </c>
      <c r="D44">
        <v>0.84</v>
      </c>
      <c r="E44">
        <v>1.093</v>
      </c>
    </row>
    <row r="45" spans="1:5" x14ac:dyDescent="0.2">
      <c r="A45">
        <v>3</v>
      </c>
      <c r="B45">
        <v>0.05</v>
      </c>
      <c r="C45">
        <v>0.78610000000000002</v>
      </c>
      <c r="D45">
        <v>1.208</v>
      </c>
      <c r="E45">
        <v>1.554</v>
      </c>
    </row>
    <row r="46" spans="1:5" x14ac:dyDescent="0.2">
      <c r="A46" t="s">
        <v>13</v>
      </c>
      <c r="B46" t="s">
        <v>68</v>
      </c>
      <c r="C46" t="s">
        <v>69</v>
      </c>
      <c r="D46" t="s">
        <v>70</v>
      </c>
      <c r="E46" t="s">
        <v>71</v>
      </c>
    </row>
    <row r="47" spans="1:5" x14ac:dyDescent="0.2">
      <c r="A47">
        <v>1</v>
      </c>
      <c r="B47">
        <v>1.7999999999999999E-2</v>
      </c>
      <c r="C47">
        <v>0.28499999999999998</v>
      </c>
      <c r="D47">
        <v>0.56000000000000005</v>
      </c>
      <c r="E47">
        <v>0.76100000000000001</v>
      </c>
    </row>
    <row r="48" spans="1:5" x14ac:dyDescent="0.2">
      <c r="A48">
        <v>2</v>
      </c>
      <c r="B48">
        <v>0.02</v>
      </c>
      <c r="C48">
        <v>0.28100000000000003</v>
      </c>
      <c r="D48">
        <v>0.55800000000000005</v>
      </c>
      <c r="E48">
        <v>0.78</v>
      </c>
    </row>
    <row r="49" spans="1:5" x14ac:dyDescent="0.2">
      <c r="A49">
        <v>3</v>
      </c>
      <c r="B49">
        <v>2.5000000000000001E-2</v>
      </c>
      <c r="C49">
        <v>0.29899999999999999</v>
      </c>
      <c r="D49">
        <v>0.59299999999999997</v>
      </c>
      <c r="E49">
        <v>0.83399999999999996</v>
      </c>
    </row>
    <row r="50" spans="1:5" x14ac:dyDescent="0.2">
      <c r="A50" t="s">
        <v>14</v>
      </c>
      <c r="B50" t="s">
        <v>68</v>
      </c>
      <c r="C50" t="s">
        <v>69</v>
      </c>
      <c r="D50" t="s">
        <v>70</v>
      </c>
      <c r="E50" t="s">
        <v>71</v>
      </c>
    </row>
    <row r="51" spans="1:5" x14ac:dyDescent="0.2">
      <c r="A51">
        <v>1</v>
      </c>
      <c r="B51">
        <v>2.1999999999999999E-2</v>
      </c>
      <c r="C51">
        <v>0.36</v>
      </c>
      <c r="D51">
        <v>0.64400000000000002</v>
      </c>
      <c r="E51">
        <v>0.86399999999999999</v>
      </c>
    </row>
    <row r="52" spans="1:5" x14ac:dyDescent="0.2">
      <c r="A52">
        <v>2</v>
      </c>
      <c r="B52">
        <v>2.1000000000000001E-2</v>
      </c>
      <c r="C52">
        <v>0.317</v>
      </c>
      <c r="D52">
        <v>0.57699999999999996</v>
      </c>
      <c r="E52">
        <v>0.81299999999999994</v>
      </c>
    </row>
    <row r="53" spans="1:5" x14ac:dyDescent="0.2">
      <c r="A53">
        <v>3</v>
      </c>
      <c r="B53">
        <v>1.4E-2</v>
      </c>
      <c r="C53">
        <v>0.36599999999999999</v>
      </c>
      <c r="D53">
        <v>0.441</v>
      </c>
      <c r="E53">
        <v>0.72099999999999997</v>
      </c>
    </row>
    <row r="54" spans="1:5" x14ac:dyDescent="0.2">
      <c r="A54" t="s">
        <v>15</v>
      </c>
      <c r="B54" t="s">
        <v>68</v>
      </c>
      <c r="C54" t="s">
        <v>69</v>
      </c>
      <c r="D54" t="s">
        <v>70</v>
      </c>
      <c r="E54" t="s">
        <v>71</v>
      </c>
    </row>
    <row r="55" spans="1:5" x14ac:dyDescent="0.2">
      <c r="A55">
        <v>1</v>
      </c>
      <c r="B55">
        <v>0.03</v>
      </c>
      <c r="C55">
        <v>0.41399999999999998</v>
      </c>
      <c r="D55">
        <v>0.70899999999999996</v>
      </c>
      <c r="E55">
        <v>0.91200000000000003</v>
      </c>
    </row>
    <row r="56" spans="1:5" x14ac:dyDescent="0.2">
      <c r="A56">
        <v>2</v>
      </c>
      <c r="B56">
        <v>2.8000000000000001E-2</v>
      </c>
      <c r="C56">
        <v>0.54200000000000004</v>
      </c>
      <c r="D56">
        <v>0.73699999999999999</v>
      </c>
      <c r="E56">
        <v>0.93799999999999994</v>
      </c>
    </row>
    <row r="57" spans="1:5" x14ac:dyDescent="0.2">
      <c r="A57">
        <v>3</v>
      </c>
      <c r="B57">
        <v>1.6E-2</v>
      </c>
      <c r="C57">
        <v>0.35799999999999998</v>
      </c>
      <c r="D57">
        <v>0.628</v>
      </c>
      <c r="E57">
        <v>0.85099999999999998</v>
      </c>
    </row>
    <row r="58" spans="1:5" x14ac:dyDescent="0.2">
      <c r="A58" t="s">
        <v>16</v>
      </c>
      <c r="B58" t="s">
        <v>68</v>
      </c>
      <c r="C58" t="s">
        <v>69</v>
      </c>
      <c r="D58" t="s">
        <v>70</v>
      </c>
      <c r="E58" t="s">
        <v>71</v>
      </c>
    </row>
    <row r="59" spans="1:5" x14ac:dyDescent="0.2">
      <c r="A59">
        <v>1</v>
      </c>
      <c r="B59">
        <v>0.02</v>
      </c>
      <c r="C59">
        <v>0.36799999999999999</v>
      </c>
      <c r="D59">
        <v>0.63600000000000001</v>
      </c>
      <c r="E59">
        <v>0.89300000000000002</v>
      </c>
    </row>
    <row r="60" spans="1:5" x14ac:dyDescent="0.2">
      <c r="A60">
        <v>2</v>
      </c>
      <c r="B60">
        <v>1.4999999999999999E-2</v>
      </c>
      <c r="C60">
        <v>0.374</v>
      </c>
      <c r="D60">
        <v>0.59799999999999998</v>
      </c>
      <c r="E60">
        <v>0.81100000000000005</v>
      </c>
    </row>
    <row r="61" spans="1:5" x14ac:dyDescent="0.2">
      <c r="A61">
        <v>3</v>
      </c>
      <c r="B61">
        <v>1.6E-2</v>
      </c>
      <c r="C61">
        <v>0.317</v>
      </c>
      <c r="D61">
        <v>0.58199999999999996</v>
      </c>
      <c r="E61">
        <v>0.79900000000000004</v>
      </c>
    </row>
    <row r="62" spans="1:5" x14ac:dyDescent="0.2">
      <c r="A62" t="s">
        <v>17</v>
      </c>
      <c r="B62" t="s">
        <v>68</v>
      </c>
      <c r="C62" t="s">
        <v>69</v>
      </c>
      <c r="D62" t="s">
        <v>70</v>
      </c>
      <c r="E62" t="s">
        <v>71</v>
      </c>
    </row>
    <row r="63" spans="1:5" x14ac:dyDescent="0.2">
      <c r="A63">
        <v>1</v>
      </c>
      <c r="B63">
        <v>2.1000000000000001E-2</v>
      </c>
      <c r="C63">
        <v>0.29799999999999999</v>
      </c>
      <c r="D63">
        <v>0.54400000000000004</v>
      </c>
      <c r="E63">
        <v>0.74199999999999999</v>
      </c>
    </row>
    <row r="64" spans="1:5" x14ac:dyDescent="0.2">
      <c r="A64">
        <v>2</v>
      </c>
      <c r="B64">
        <v>1.7999999999999999E-2</v>
      </c>
      <c r="C64">
        <v>0.315</v>
      </c>
      <c r="D64">
        <v>0.57599999999999996</v>
      </c>
      <c r="E64">
        <v>0.78700000000000003</v>
      </c>
    </row>
    <row r="65" spans="1:5" x14ac:dyDescent="0.2">
      <c r="A65">
        <v>3</v>
      </c>
      <c r="B65">
        <v>2.4E-2</v>
      </c>
      <c r="C65">
        <v>0.34100000000000003</v>
      </c>
      <c r="D65">
        <v>0.60199999999999998</v>
      </c>
      <c r="E65">
        <v>0.81200000000000006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77FD-C7B2-4998-8D3D-9110D67DC616}">
  <dimension ref="A1:K65"/>
  <sheetViews>
    <sheetView zoomScaleNormal="100" workbookViewId="0">
      <selection activeCell="H73" sqref="H73"/>
    </sheetView>
  </sheetViews>
  <sheetFormatPr defaultRowHeight="24.95" customHeight="1" x14ac:dyDescent="0.2"/>
  <cols>
    <col min="1" max="1" width="21" bestFit="1" customWidth="1"/>
    <col min="2" max="2" width="14.625" customWidth="1"/>
    <col min="3" max="3" width="13.5" customWidth="1"/>
    <col min="4" max="4" width="15.125" bestFit="1" customWidth="1"/>
    <col min="7" max="7" width="20.75" customWidth="1"/>
    <col min="8" max="8" width="20.375" customWidth="1"/>
    <col min="9" max="9" width="21.25" customWidth="1"/>
    <col min="10" max="10" width="14.125" customWidth="1"/>
  </cols>
  <sheetData>
    <row r="1" spans="1:11" ht="24.95" customHeight="1" x14ac:dyDescent="0.2">
      <c r="A1" t="s">
        <v>90</v>
      </c>
      <c r="B1" t="s">
        <v>88</v>
      </c>
      <c r="C1" t="s">
        <v>89</v>
      </c>
      <c r="D1" t="s">
        <v>91</v>
      </c>
    </row>
    <row r="2" spans="1:11" ht="24.95" customHeight="1" thickBot="1" x14ac:dyDescent="0.25">
      <c r="A2" t="s">
        <v>1</v>
      </c>
    </row>
    <row r="3" spans="1:11" ht="24.95" customHeight="1" thickBot="1" x14ac:dyDescent="0.25">
      <c r="A3">
        <v>1</v>
      </c>
      <c r="B3">
        <v>1.452</v>
      </c>
      <c r="C3">
        <v>1.3879999999999999</v>
      </c>
      <c r="D3">
        <f>B3-C3</f>
        <v>6.4000000000000057E-2</v>
      </c>
      <c r="F3" s="2" t="s">
        <v>153</v>
      </c>
      <c r="G3" s="2" t="s">
        <v>154</v>
      </c>
      <c r="H3" s="2" t="s">
        <v>308</v>
      </c>
      <c r="I3" s="2" t="s">
        <v>309</v>
      </c>
      <c r="J3" s="2" t="s">
        <v>342</v>
      </c>
      <c r="K3" s="2" t="s">
        <v>343</v>
      </c>
    </row>
    <row r="4" spans="1:11" ht="24.95" customHeight="1" thickBot="1" x14ac:dyDescent="0.25">
      <c r="A4">
        <v>2</v>
      </c>
      <c r="B4">
        <v>1.448</v>
      </c>
      <c r="C4">
        <v>1.381</v>
      </c>
      <c r="D4">
        <f t="shared" ref="D4:D65" si="0">B4-C4</f>
        <v>6.6999999999999948E-2</v>
      </c>
      <c r="F4" s="1" t="s">
        <v>22</v>
      </c>
      <c r="G4" s="1" t="s">
        <v>155</v>
      </c>
      <c r="H4" s="1" t="s">
        <v>310</v>
      </c>
      <c r="I4" s="1" t="s">
        <v>311</v>
      </c>
      <c r="J4" s="1">
        <v>442.7</v>
      </c>
      <c r="K4" s="1" t="s">
        <v>344</v>
      </c>
    </row>
    <row r="5" spans="1:11" ht="24.95" customHeight="1" thickBot="1" x14ac:dyDescent="0.25">
      <c r="A5">
        <v>3</v>
      </c>
      <c r="B5">
        <v>1.4550000000000001</v>
      </c>
      <c r="C5">
        <v>1.39</v>
      </c>
      <c r="D5">
        <f t="shared" si="0"/>
        <v>6.5000000000000169E-2</v>
      </c>
      <c r="F5" s="1" t="s">
        <v>28</v>
      </c>
      <c r="G5" s="1" t="s">
        <v>156</v>
      </c>
      <c r="H5" s="1" t="s">
        <v>312</v>
      </c>
      <c r="I5" s="1" t="s">
        <v>313</v>
      </c>
      <c r="J5" s="1">
        <v>300.39999999999998</v>
      </c>
      <c r="K5" s="1" t="s">
        <v>344</v>
      </c>
    </row>
    <row r="6" spans="1:11" ht="24.95" customHeight="1" thickBot="1" x14ac:dyDescent="0.25">
      <c r="A6" t="s">
        <v>2</v>
      </c>
      <c r="F6" s="1" t="s">
        <v>29</v>
      </c>
      <c r="G6" s="1" t="s">
        <v>157</v>
      </c>
      <c r="H6" s="1" t="s">
        <v>314</v>
      </c>
      <c r="I6" s="1" t="s">
        <v>315</v>
      </c>
      <c r="J6" s="1">
        <v>340.9</v>
      </c>
      <c r="K6" s="1" t="s">
        <v>344</v>
      </c>
    </row>
    <row r="7" spans="1:11" ht="24.95" customHeight="1" thickBot="1" x14ac:dyDescent="0.25">
      <c r="A7">
        <v>1</v>
      </c>
      <c r="B7">
        <v>1.4219999999999999</v>
      </c>
      <c r="C7">
        <v>1.3779999999999999</v>
      </c>
      <c r="D7">
        <f t="shared" si="0"/>
        <v>4.4000000000000039E-2</v>
      </c>
      <c r="F7" s="1" t="s">
        <v>30</v>
      </c>
      <c r="G7" s="1" t="s">
        <v>158</v>
      </c>
      <c r="H7" s="1" t="s">
        <v>316</v>
      </c>
      <c r="I7" s="1" t="s">
        <v>317</v>
      </c>
      <c r="J7" s="1">
        <v>374.9</v>
      </c>
      <c r="K7" s="1" t="s">
        <v>344</v>
      </c>
    </row>
    <row r="8" spans="1:11" ht="24.95" customHeight="1" thickBot="1" x14ac:dyDescent="0.25">
      <c r="A8">
        <v>2</v>
      </c>
      <c r="B8">
        <v>1.4179999999999999</v>
      </c>
      <c r="C8">
        <v>1.3720000000000001</v>
      </c>
      <c r="D8">
        <f t="shared" si="0"/>
        <v>4.5999999999999819E-2</v>
      </c>
      <c r="F8" s="1" t="s">
        <v>31</v>
      </c>
      <c r="G8" s="1" t="s">
        <v>159</v>
      </c>
      <c r="H8" s="1" t="s">
        <v>318</v>
      </c>
      <c r="I8" s="1" t="s">
        <v>319</v>
      </c>
      <c r="J8" s="1">
        <v>235.3</v>
      </c>
      <c r="K8" s="1" t="s">
        <v>344</v>
      </c>
    </row>
    <row r="9" spans="1:11" ht="24.95" customHeight="1" thickBot="1" x14ac:dyDescent="0.25">
      <c r="A9">
        <v>3</v>
      </c>
      <c r="B9">
        <v>1.425</v>
      </c>
      <c r="C9">
        <v>1.3819999999999999</v>
      </c>
      <c r="D9">
        <f t="shared" si="0"/>
        <v>4.3000000000000149E-2</v>
      </c>
      <c r="F9" s="1" t="s">
        <v>32</v>
      </c>
      <c r="G9" s="1" t="s">
        <v>160</v>
      </c>
      <c r="H9" s="1" t="s">
        <v>320</v>
      </c>
      <c r="I9" s="1" t="s">
        <v>321</v>
      </c>
      <c r="J9" s="1">
        <v>276</v>
      </c>
      <c r="K9" s="1" t="s">
        <v>344</v>
      </c>
    </row>
    <row r="10" spans="1:11" ht="24.95" customHeight="1" thickBot="1" x14ac:dyDescent="0.25">
      <c r="A10" t="s">
        <v>3</v>
      </c>
      <c r="F10" s="1" t="s">
        <v>33</v>
      </c>
      <c r="G10" s="1" t="s">
        <v>161</v>
      </c>
      <c r="H10" s="1" t="s">
        <v>322</v>
      </c>
      <c r="I10" s="1" t="s">
        <v>323</v>
      </c>
      <c r="J10" s="1">
        <v>248.8</v>
      </c>
      <c r="K10" s="1" t="s">
        <v>344</v>
      </c>
    </row>
    <row r="11" spans="1:11" ht="24.95" customHeight="1" thickBot="1" x14ac:dyDescent="0.25">
      <c r="A11">
        <v>1</v>
      </c>
      <c r="B11">
        <v>1.651</v>
      </c>
      <c r="C11">
        <v>1.6</v>
      </c>
      <c r="D11">
        <f t="shared" si="0"/>
        <v>5.0999999999999934E-2</v>
      </c>
      <c r="F11" s="1" t="s">
        <v>34</v>
      </c>
      <c r="G11" s="1" t="s">
        <v>162</v>
      </c>
      <c r="H11" s="1" t="s">
        <v>324</v>
      </c>
      <c r="I11" s="1" t="s">
        <v>325</v>
      </c>
      <c r="J11" s="1">
        <v>340.9</v>
      </c>
      <c r="K11" s="1" t="s">
        <v>344</v>
      </c>
    </row>
    <row r="12" spans="1:11" ht="24.95" customHeight="1" thickBot="1" x14ac:dyDescent="0.25">
      <c r="A12">
        <v>2</v>
      </c>
      <c r="B12">
        <v>1.645</v>
      </c>
      <c r="C12">
        <v>1.597</v>
      </c>
      <c r="D12">
        <f t="shared" si="0"/>
        <v>4.8000000000000043E-2</v>
      </c>
      <c r="F12" s="1" t="s">
        <v>35</v>
      </c>
      <c r="G12" s="1" t="s">
        <v>163</v>
      </c>
      <c r="H12" s="1" t="s">
        <v>326</v>
      </c>
      <c r="I12" s="1" t="s">
        <v>327</v>
      </c>
      <c r="J12" s="1">
        <v>325.39999999999998</v>
      </c>
      <c r="K12" s="1" t="s">
        <v>345</v>
      </c>
    </row>
    <row r="13" spans="1:11" ht="24.95" customHeight="1" thickBot="1" x14ac:dyDescent="0.25">
      <c r="A13">
        <v>3</v>
      </c>
      <c r="B13">
        <v>1.6539999999999999</v>
      </c>
      <c r="C13">
        <v>1.6020000000000001</v>
      </c>
      <c r="D13">
        <f t="shared" si="0"/>
        <v>5.1999999999999824E-2</v>
      </c>
      <c r="F13" s="1" t="s">
        <v>36</v>
      </c>
      <c r="G13" s="1" t="s">
        <v>164</v>
      </c>
      <c r="H13" s="1" t="s">
        <v>328</v>
      </c>
      <c r="I13" s="1" t="s">
        <v>329</v>
      </c>
      <c r="J13" s="1">
        <v>178.3</v>
      </c>
      <c r="K13" s="1" t="s">
        <v>344</v>
      </c>
    </row>
    <row r="14" spans="1:11" ht="24.95" customHeight="1" thickBot="1" x14ac:dyDescent="0.25">
      <c r="A14" t="s">
        <v>4</v>
      </c>
      <c r="F14" s="1" t="s">
        <v>37</v>
      </c>
      <c r="G14" s="1" t="s">
        <v>165</v>
      </c>
      <c r="H14" s="1" t="s">
        <v>330</v>
      </c>
      <c r="I14" s="1" t="s">
        <v>331</v>
      </c>
      <c r="J14" s="1">
        <v>232.6</v>
      </c>
      <c r="K14" s="1" t="s">
        <v>344</v>
      </c>
    </row>
    <row r="15" spans="1:11" ht="24.95" customHeight="1" thickBot="1" x14ac:dyDescent="0.25">
      <c r="A15">
        <v>1</v>
      </c>
      <c r="B15">
        <v>1.4019999999999999</v>
      </c>
      <c r="C15">
        <v>1.3480000000000001</v>
      </c>
      <c r="D15">
        <f t="shared" si="0"/>
        <v>5.3999999999999826E-2</v>
      </c>
      <c r="F15" s="1" t="s">
        <v>38</v>
      </c>
      <c r="G15" s="1" t="s">
        <v>166</v>
      </c>
      <c r="H15" s="1" t="s">
        <v>332</v>
      </c>
      <c r="I15" s="1" t="s">
        <v>333</v>
      </c>
      <c r="J15" s="1">
        <v>271.2</v>
      </c>
      <c r="K15" s="1" t="s">
        <v>345</v>
      </c>
    </row>
    <row r="16" spans="1:11" ht="24.95" customHeight="1" thickBot="1" x14ac:dyDescent="0.25">
      <c r="A16">
        <v>2</v>
      </c>
      <c r="B16">
        <v>1.395</v>
      </c>
      <c r="C16">
        <v>1.3380000000000001</v>
      </c>
      <c r="D16">
        <f t="shared" si="0"/>
        <v>5.699999999999994E-2</v>
      </c>
      <c r="F16" s="1" t="s">
        <v>39</v>
      </c>
      <c r="G16" s="1" t="s">
        <v>167</v>
      </c>
      <c r="H16" s="1" t="s">
        <v>334</v>
      </c>
      <c r="I16" s="1" t="s">
        <v>335</v>
      </c>
      <c r="J16" s="1">
        <v>286.8</v>
      </c>
      <c r="K16" s="1" t="s">
        <v>344</v>
      </c>
    </row>
    <row r="17" spans="1:11" ht="24.95" customHeight="1" thickBot="1" x14ac:dyDescent="0.25">
      <c r="A17">
        <v>3</v>
      </c>
      <c r="B17">
        <v>1.405</v>
      </c>
      <c r="C17">
        <v>1.35</v>
      </c>
      <c r="D17">
        <f t="shared" si="0"/>
        <v>5.4999999999999938E-2</v>
      </c>
      <c r="F17" s="1" t="s">
        <v>40</v>
      </c>
      <c r="G17" s="1" t="s">
        <v>168</v>
      </c>
      <c r="H17" s="1" t="s">
        <v>336</v>
      </c>
      <c r="I17" s="1" t="s">
        <v>337</v>
      </c>
      <c r="J17" s="1">
        <v>305.10000000000002</v>
      </c>
      <c r="K17" s="1" t="s">
        <v>345</v>
      </c>
    </row>
    <row r="18" spans="1:11" ht="24.95" customHeight="1" thickBot="1" x14ac:dyDescent="0.25">
      <c r="A18" t="s">
        <v>5</v>
      </c>
      <c r="F18" s="1" t="s">
        <v>41</v>
      </c>
      <c r="G18" s="1" t="s">
        <v>169</v>
      </c>
      <c r="H18" s="1" t="s">
        <v>338</v>
      </c>
      <c r="I18" s="1" t="s">
        <v>339</v>
      </c>
      <c r="J18" s="1">
        <v>476.6</v>
      </c>
      <c r="K18" s="1" t="s">
        <v>344</v>
      </c>
    </row>
    <row r="19" spans="1:11" ht="24.95" customHeight="1" thickBot="1" x14ac:dyDescent="0.25">
      <c r="A19">
        <v>1</v>
      </c>
      <c r="B19">
        <v>1.552</v>
      </c>
      <c r="C19">
        <v>1.518</v>
      </c>
      <c r="D19">
        <f t="shared" si="0"/>
        <v>3.400000000000003E-2</v>
      </c>
      <c r="F19" s="1" t="s">
        <v>42</v>
      </c>
      <c r="G19" s="1" t="s">
        <v>170</v>
      </c>
      <c r="H19" s="1" t="s">
        <v>340</v>
      </c>
      <c r="I19" s="1" t="s">
        <v>341</v>
      </c>
      <c r="J19" s="1">
        <v>440.7</v>
      </c>
      <c r="K19" s="1" t="s">
        <v>345</v>
      </c>
    </row>
    <row r="20" spans="1:11" ht="24.95" customHeight="1" x14ac:dyDescent="0.2">
      <c r="A20">
        <v>2</v>
      </c>
      <c r="B20">
        <v>1.548</v>
      </c>
      <c r="C20">
        <v>1.512</v>
      </c>
      <c r="D20">
        <f t="shared" si="0"/>
        <v>3.6000000000000032E-2</v>
      </c>
    </row>
    <row r="21" spans="1:11" ht="24.95" customHeight="1" x14ac:dyDescent="0.2">
      <c r="A21">
        <v>3</v>
      </c>
      <c r="B21">
        <v>1.5549999999999999</v>
      </c>
      <c r="C21">
        <v>1.5209999999999999</v>
      </c>
      <c r="D21">
        <f t="shared" si="0"/>
        <v>3.400000000000003E-2</v>
      </c>
    </row>
    <row r="22" spans="1:11" ht="24.95" customHeight="1" x14ac:dyDescent="0.2">
      <c r="A22" t="s">
        <v>6</v>
      </c>
    </row>
    <row r="23" spans="1:11" ht="24.95" customHeight="1" x14ac:dyDescent="0.2">
      <c r="A23">
        <v>1</v>
      </c>
      <c r="B23">
        <v>1.381</v>
      </c>
      <c r="C23">
        <v>1.34</v>
      </c>
      <c r="D23">
        <f t="shared" si="0"/>
        <v>4.0999999999999925E-2</v>
      </c>
    </row>
    <row r="24" spans="1:11" ht="24.95" customHeight="1" x14ac:dyDescent="0.2">
      <c r="A24">
        <v>2</v>
      </c>
      <c r="B24">
        <v>1.3779999999999999</v>
      </c>
      <c r="C24">
        <v>1.339</v>
      </c>
      <c r="D24">
        <f t="shared" si="0"/>
        <v>3.8999999999999924E-2</v>
      </c>
    </row>
    <row r="25" spans="1:11" ht="24.95" customHeight="1" x14ac:dyDescent="0.2">
      <c r="A25">
        <v>3</v>
      </c>
      <c r="B25">
        <v>1.385</v>
      </c>
      <c r="C25">
        <v>1.343</v>
      </c>
      <c r="D25">
        <f t="shared" si="0"/>
        <v>4.2000000000000037E-2</v>
      </c>
    </row>
    <row r="26" spans="1:11" ht="24.95" customHeight="1" x14ac:dyDescent="0.2">
      <c r="A26" t="s">
        <v>8</v>
      </c>
    </row>
    <row r="27" spans="1:11" ht="24.95" customHeight="1" x14ac:dyDescent="0.2">
      <c r="A27">
        <v>1</v>
      </c>
      <c r="B27">
        <v>1.526</v>
      </c>
      <c r="C27">
        <v>1.488</v>
      </c>
      <c r="D27">
        <f t="shared" si="0"/>
        <v>3.8000000000000034E-2</v>
      </c>
    </row>
    <row r="28" spans="1:11" ht="24.95" customHeight="1" x14ac:dyDescent="0.2">
      <c r="A28">
        <v>2</v>
      </c>
      <c r="B28">
        <v>1.508</v>
      </c>
      <c r="C28">
        <v>1.474</v>
      </c>
      <c r="D28">
        <f t="shared" si="0"/>
        <v>3.400000000000003E-2</v>
      </c>
    </row>
    <row r="29" spans="1:11" ht="24.95" customHeight="1" x14ac:dyDescent="0.2">
      <c r="A29">
        <v>3</v>
      </c>
      <c r="B29">
        <v>1.4990000000000001</v>
      </c>
      <c r="C29">
        <v>1.4610000000000001</v>
      </c>
      <c r="D29">
        <f t="shared" si="0"/>
        <v>3.8000000000000034E-2</v>
      </c>
    </row>
    <row r="30" spans="1:11" ht="24.95" customHeight="1" x14ac:dyDescent="0.2">
      <c r="A30" t="s">
        <v>9</v>
      </c>
    </row>
    <row r="31" spans="1:11" ht="24.95" customHeight="1" x14ac:dyDescent="0.2">
      <c r="A31">
        <v>1</v>
      </c>
      <c r="B31">
        <v>1.4990000000000001</v>
      </c>
      <c r="C31">
        <v>1.456</v>
      </c>
      <c r="D31">
        <f t="shared" si="0"/>
        <v>4.3000000000000149E-2</v>
      </c>
    </row>
    <row r="32" spans="1:11" ht="24.95" customHeight="1" x14ac:dyDescent="0.2">
      <c r="A32">
        <v>2</v>
      </c>
      <c r="B32">
        <v>1.5049999999999999</v>
      </c>
      <c r="C32">
        <v>1.4530000000000001</v>
      </c>
      <c r="D32">
        <f t="shared" si="0"/>
        <v>5.1999999999999824E-2</v>
      </c>
    </row>
    <row r="33" spans="1:4" ht="24.95" customHeight="1" x14ac:dyDescent="0.2">
      <c r="A33">
        <v>3</v>
      </c>
      <c r="B33">
        <v>1.63</v>
      </c>
      <c r="C33">
        <v>1.5740000000000001</v>
      </c>
      <c r="D33">
        <f t="shared" si="0"/>
        <v>5.5999999999999828E-2</v>
      </c>
    </row>
    <row r="34" spans="1:4" ht="24.95" customHeight="1" x14ac:dyDescent="0.2">
      <c r="A34" t="s">
        <v>10</v>
      </c>
    </row>
    <row r="35" spans="1:4" ht="24.95" customHeight="1" x14ac:dyDescent="0.2">
      <c r="A35">
        <v>1</v>
      </c>
      <c r="B35">
        <v>1.452</v>
      </c>
      <c r="C35">
        <v>1.405</v>
      </c>
      <c r="D35">
        <f t="shared" si="0"/>
        <v>4.6999999999999931E-2</v>
      </c>
    </row>
    <row r="36" spans="1:4" ht="24.95" customHeight="1" x14ac:dyDescent="0.2">
      <c r="A36">
        <v>2</v>
      </c>
      <c r="B36">
        <v>1.4470000000000001</v>
      </c>
      <c r="C36">
        <v>1.3979999999999999</v>
      </c>
      <c r="D36">
        <f t="shared" si="0"/>
        <v>4.9000000000000155E-2</v>
      </c>
    </row>
    <row r="37" spans="1:4" ht="24.95" customHeight="1" x14ac:dyDescent="0.2">
      <c r="A37">
        <v>3</v>
      </c>
      <c r="B37">
        <v>1.454</v>
      </c>
      <c r="C37">
        <v>1.4059999999999999</v>
      </c>
      <c r="D37">
        <f t="shared" si="0"/>
        <v>4.8000000000000043E-2</v>
      </c>
    </row>
    <row r="38" spans="1:4" ht="24.95" customHeight="1" x14ac:dyDescent="0.2">
      <c r="A38" t="s">
        <v>11</v>
      </c>
    </row>
    <row r="39" spans="1:4" ht="24.95" customHeight="1" x14ac:dyDescent="0.2">
      <c r="A39">
        <v>1</v>
      </c>
      <c r="B39">
        <v>1.4119999999999999</v>
      </c>
      <c r="C39">
        <v>1.387</v>
      </c>
      <c r="D39">
        <f t="shared" si="0"/>
        <v>2.4999999999999911E-2</v>
      </c>
    </row>
    <row r="40" spans="1:4" ht="24.95" customHeight="1" x14ac:dyDescent="0.2">
      <c r="A40">
        <v>2</v>
      </c>
      <c r="B40">
        <v>1.149</v>
      </c>
      <c r="C40">
        <v>1.121</v>
      </c>
      <c r="D40">
        <f t="shared" si="0"/>
        <v>2.8000000000000025E-2</v>
      </c>
    </row>
    <row r="41" spans="1:4" ht="24.95" customHeight="1" x14ac:dyDescent="0.2">
      <c r="A41">
        <v>3</v>
      </c>
      <c r="B41">
        <v>1.4179999999999999</v>
      </c>
      <c r="C41">
        <v>1.3919999999999999</v>
      </c>
      <c r="D41">
        <f t="shared" si="0"/>
        <v>2.6000000000000023E-2</v>
      </c>
    </row>
    <row r="42" spans="1:4" ht="24.95" customHeight="1" x14ac:dyDescent="0.2">
      <c r="A42" t="s">
        <v>12</v>
      </c>
    </row>
    <row r="43" spans="1:4" ht="24.95" customHeight="1" x14ac:dyDescent="0.2">
      <c r="A43">
        <v>1</v>
      </c>
      <c r="B43">
        <v>1.4850000000000001</v>
      </c>
      <c r="C43">
        <v>1.4530000000000001</v>
      </c>
      <c r="D43">
        <f t="shared" si="0"/>
        <v>3.2000000000000028E-2</v>
      </c>
    </row>
    <row r="44" spans="1:4" ht="24.95" customHeight="1" x14ac:dyDescent="0.2">
      <c r="A44">
        <v>2</v>
      </c>
      <c r="B44">
        <v>1.4830000000000001</v>
      </c>
      <c r="C44">
        <v>1.4450000000000001</v>
      </c>
      <c r="D44">
        <f t="shared" si="0"/>
        <v>3.8000000000000034E-2</v>
      </c>
    </row>
    <row r="45" spans="1:4" ht="24.95" customHeight="1" x14ac:dyDescent="0.2">
      <c r="A45">
        <v>3</v>
      </c>
      <c r="B45">
        <v>1.454</v>
      </c>
      <c r="C45">
        <v>1.421</v>
      </c>
      <c r="D45">
        <f t="shared" si="0"/>
        <v>3.2999999999999918E-2</v>
      </c>
    </row>
    <row r="46" spans="1:4" ht="24.95" customHeight="1" x14ac:dyDescent="0.2">
      <c r="A46" t="s">
        <v>13</v>
      </c>
    </row>
    <row r="47" spans="1:4" ht="24.95" customHeight="1" x14ac:dyDescent="0.2">
      <c r="A47">
        <v>1</v>
      </c>
      <c r="B47">
        <v>1.4419999999999999</v>
      </c>
      <c r="C47">
        <v>1.403</v>
      </c>
      <c r="D47">
        <f t="shared" si="0"/>
        <v>3.8999999999999924E-2</v>
      </c>
    </row>
    <row r="48" spans="1:4" ht="24.95" customHeight="1" x14ac:dyDescent="0.2">
      <c r="A48">
        <v>2</v>
      </c>
      <c r="B48">
        <v>1.4450000000000001</v>
      </c>
      <c r="C48">
        <v>1.405</v>
      </c>
      <c r="D48">
        <f t="shared" si="0"/>
        <v>4.0000000000000036E-2</v>
      </c>
    </row>
    <row r="49" spans="1:4" ht="24.95" customHeight="1" x14ac:dyDescent="0.2">
      <c r="A49">
        <v>3</v>
      </c>
      <c r="B49">
        <v>1.4379999999999999</v>
      </c>
      <c r="C49">
        <v>1.397</v>
      </c>
      <c r="D49">
        <f t="shared" si="0"/>
        <v>4.0999999999999925E-2</v>
      </c>
    </row>
    <row r="50" spans="1:4" ht="24.95" customHeight="1" x14ac:dyDescent="0.2">
      <c r="A50" t="s">
        <v>14</v>
      </c>
    </row>
    <row r="51" spans="1:4" ht="24.95" customHeight="1" x14ac:dyDescent="0.2">
      <c r="A51">
        <v>1</v>
      </c>
      <c r="B51">
        <v>1.4419999999999999</v>
      </c>
      <c r="C51">
        <v>1.3979999999999999</v>
      </c>
      <c r="D51">
        <f t="shared" si="0"/>
        <v>4.4000000000000039E-2</v>
      </c>
    </row>
    <row r="52" spans="1:4" ht="24.95" customHeight="1" x14ac:dyDescent="0.2">
      <c r="A52">
        <v>2</v>
      </c>
      <c r="B52">
        <v>1.4379999999999999</v>
      </c>
      <c r="C52">
        <v>1.3919999999999999</v>
      </c>
      <c r="D52">
        <f t="shared" si="0"/>
        <v>4.6000000000000041E-2</v>
      </c>
    </row>
    <row r="53" spans="1:4" ht="24.95" customHeight="1" x14ac:dyDescent="0.2">
      <c r="A53">
        <v>3</v>
      </c>
      <c r="B53">
        <v>1.4450000000000001</v>
      </c>
      <c r="C53">
        <v>1.4079999999999999</v>
      </c>
      <c r="D53">
        <f t="shared" si="0"/>
        <v>3.7000000000000144E-2</v>
      </c>
    </row>
    <row r="54" spans="1:4" ht="24.95" customHeight="1" x14ac:dyDescent="0.2">
      <c r="A54" t="s">
        <v>15</v>
      </c>
    </row>
    <row r="55" spans="1:4" ht="24.95" customHeight="1" x14ac:dyDescent="0.2">
      <c r="A55">
        <v>1</v>
      </c>
      <c r="B55">
        <v>1.4419999999999999</v>
      </c>
      <c r="C55">
        <v>1.3979999999999999</v>
      </c>
      <c r="D55">
        <f t="shared" si="0"/>
        <v>4.4000000000000039E-2</v>
      </c>
    </row>
    <row r="56" spans="1:4" ht="24.95" customHeight="1" x14ac:dyDescent="0.2">
      <c r="A56">
        <v>2</v>
      </c>
      <c r="B56">
        <v>1.4379999999999999</v>
      </c>
      <c r="C56">
        <v>1.3919999999999999</v>
      </c>
      <c r="D56">
        <f t="shared" si="0"/>
        <v>4.6000000000000041E-2</v>
      </c>
    </row>
    <row r="57" spans="1:4" ht="24.95" customHeight="1" x14ac:dyDescent="0.2">
      <c r="A57">
        <v>3</v>
      </c>
      <c r="B57">
        <v>1.4450000000000001</v>
      </c>
      <c r="C57">
        <v>1.4</v>
      </c>
      <c r="D57">
        <f t="shared" si="0"/>
        <v>4.5000000000000151E-2</v>
      </c>
    </row>
    <row r="58" spans="1:4" ht="24.95" customHeight="1" x14ac:dyDescent="0.2">
      <c r="A58" t="s">
        <v>16</v>
      </c>
    </row>
    <row r="59" spans="1:4" ht="24.95" customHeight="1" x14ac:dyDescent="0.2">
      <c r="A59">
        <v>1</v>
      </c>
      <c r="B59">
        <v>1.452</v>
      </c>
      <c r="C59">
        <v>1.383</v>
      </c>
      <c r="D59">
        <f t="shared" si="0"/>
        <v>6.899999999999995E-2</v>
      </c>
    </row>
    <row r="60" spans="1:4" ht="24.95" customHeight="1" x14ac:dyDescent="0.2">
      <c r="A60">
        <v>2</v>
      </c>
      <c r="B60">
        <v>1.448</v>
      </c>
      <c r="C60">
        <v>1.3759999999999999</v>
      </c>
      <c r="D60">
        <f t="shared" si="0"/>
        <v>7.2000000000000064E-2</v>
      </c>
    </row>
    <row r="61" spans="1:4" ht="24.95" customHeight="1" x14ac:dyDescent="0.2">
      <c r="A61">
        <v>3</v>
      </c>
      <c r="B61">
        <v>1.4550000000000001</v>
      </c>
      <c r="C61">
        <v>1.385</v>
      </c>
      <c r="D61">
        <f t="shared" si="0"/>
        <v>7.0000000000000062E-2</v>
      </c>
    </row>
    <row r="62" spans="1:4" ht="24.95" customHeight="1" x14ac:dyDescent="0.2">
      <c r="A62" t="s">
        <v>17</v>
      </c>
    </row>
    <row r="63" spans="1:4" ht="24.95" customHeight="1" x14ac:dyDescent="0.2">
      <c r="A63">
        <v>1</v>
      </c>
      <c r="B63">
        <v>1.552</v>
      </c>
      <c r="C63">
        <v>1.488</v>
      </c>
      <c r="D63">
        <f t="shared" si="0"/>
        <v>6.4000000000000057E-2</v>
      </c>
    </row>
    <row r="64" spans="1:4" ht="24.95" customHeight="1" x14ac:dyDescent="0.2">
      <c r="A64">
        <v>2</v>
      </c>
      <c r="B64">
        <v>1.548</v>
      </c>
      <c r="C64">
        <v>1.482</v>
      </c>
      <c r="D64">
        <f t="shared" si="0"/>
        <v>6.6000000000000059E-2</v>
      </c>
    </row>
    <row r="65" spans="1:4" ht="24.95" customHeight="1" x14ac:dyDescent="0.2">
      <c r="A65">
        <v>3</v>
      </c>
      <c r="B65">
        <v>1.5549999999999999</v>
      </c>
      <c r="C65">
        <v>1.49</v>
      </c>
      <c r="D65">
        <f t="shared" si="0"/>
        <v>6.4999999999999947E-2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55443-96D5-49F2-8778-C8B797BB78F8}">
  <dimension ref="A1:Y48"/>
  <sheetViews>
    <sheetView zoomScaleNormal="100" workbookViewId="0">
      <selection activeCell="J4" sqref="J4"/>
    </sheetView>
  </sheetViews>
  <sheetFormatPr defaultRowHeight="14.25" x14ac:dyDescent="0.2"/>
  <cols>
    <col min="1" max="1" width="13" bestFit="1" customWidth="1"/>
    <col min="3" max="3" width="12.125" customWidth="1"/>
    <col min="4" max="4" width="13.125" customWidth="1"/>
    <col min="5" max="5" width="12.25" customWidth="1"/>
    <col min="6" max="6" width="9.375" customWidth="1"/>
    <col min="7" max="7" width="9.875" customWidth="1"/>
    <col min="8" max="8" width="10.875" customWidth="1"/>
    <col min="10" max="10" width="44.75" bestFit="1" customWidth="1"/>
    <col min="11" max="11" width="22" bestFit="1" customWidth="1"/>
    <col min="12" max="12" width="19.375" customWidth="1"/>
    <col min="13" max="13" width="22.375" customWidth="1"/>
    <col min="14" max="14" width="25.875" customWidth="1"/>
    <col min="22" max="22" width="11.25" bestFit="1" customWidth="1"/>
  </cols>
  <sheetData>
    <row r="1" spans="1:25" x14ac:dyDescent="0.2">
      <c r="A1" t="s">
        <v>137</v>
      </c>
    </row>
    <row r="2" spans="1:25" ht="15" thickBot="1" x14ac:dyDescent="0.25"/>
    <row r="3" spans="1:25" ht="94.5" customHeight="1" thickBot="1" x14ac:dyDescent="0.25">
      <c r="A3" s="2" t="s">
        <v>79</v>
      </c>
      <c r="B3" s="2" t="s">
        <v>235</v>
      </c>
      <c r="C3" s="2" t="s">
        <v>236</v>
      </c>
      <c r="D3" s="2" t="s">
        <v>237</v>
      </c>
      <c r="E3" s="2" t="s">
        <v>238</v>
      </c>
      <c r="F3" s="2" t="s">
        <v>239</v>
      </c>
      <c r="G3" s="2" t="s">
        <v>240</v>
      </c>
      <c r="H3" s="2" t="s">
        <v>241</v>
      </c>
      <c r="J3" s="21" t="s">
        <v>79</v>
      </c>
      <c r="K3" s="21" t="s">
        <v>182</v>
      </c>
      <c r="L3" s="21" t="s">
        <v>212</v>
      </c>
      <c r="M3" s="21" t="s">
        <v>213</v>
      </c>
      <c r="N3" s="21" t="s">
        <v>214</v>
      </c>
      <c r="O3" s="21"/>
      <c r="P3" s="21"/>
      <c r="Q3" s="21"/>
      <c r="R3" s="21"/>
      <c r="S3" s="21" t="s">
        <v>183</v>
      </c>
      <c r="T3" s="21"/>
      <c r="U3" s="21"/>
      <c r="V3" s="21" t="s">
        <v>184</v>
      </c>
      <c r="W3" s="21" t="s">
        <v>174</v>
      </c>
      <c r="X3" s="21" t="s">
        <v>175</v>
      </c>
      <c r="Y3" s="21"/>
    </row>
    <row r="4" spans="1:25" ht="83.25" customHeight="1" thickBot="1" x14ac:dyDescent="0.25">
      <c r="A4" s="1">
        <v>1</v>
      </c>
      <c r="B4" s="1" t="s">
        <v>242</v>
      </c>
      <c r="C4" s="1" t="s">
        <v>263</v>
      </c>
      <c r="D4" s="1" t="s">
        <v>278</v>
      </c>
      <c r="E4" s="1" t="s">
        <v>92</v>
      </c>
      <c r="F4" s="1" t="s">
        <v>93</v>
      </c>
      <c r="G4" s="1" t="s">
        <v>94</v>
      </c>
      <c r="H4" s="1" t="s">
        <v>95</v>
      </c>
      <c r="J4" s="20" t="s">
        <v>211</v>
      </c>
      <c r="K4" s="15" t="s">
        <v>185</v>
      </c>
      <c r="L4" s="15" t="s">
        <v>186</v>
      </c>
      <c r="M4" s="15" t="s">
        <v>138</v>
      </c>
      <c r="N4" s="15" t="s">
        <v>187</v>
      </c>
      <c r="O4" s="15" t="s">
        <v>188</v>
      </c>
      <c r="P4" s="15" t="s">
        <v>189</v>
      </c>
      <c r="Q4" s="15" t="s">
        <v>190</v>
      </c>
      <c r="R4" s="15" t="s">
        <v>191</v>
      </c>
      <c r="S4" s="15" t="s">
        <v>192</v>
      </c>
      <c r="T4" s="15" t="s">
        <v>193</v>
      </c>
      <c r="U4" s="15" t="s">
        <v>194</v>
      </c>
      <c r="V4" s="15"/>
      <c r="W4" s="15"/>
      <c r="X4" s="15"/>
      <c r="Y4" s="15"/>
    </row>
    <row r="5" spans="1:25" ht="72" thickBot="1" x14ac:dyDescent="0.25">
      <c r="A5" s="1">
        <v>2</v>
      </c>
      <c r="B5" s="1" t="s">
        <v>243</v>
      </c>
      <c r="C5" s="1" t="s">
        <v>264</v>
      </c>
      <c r="D5" s="1" t="s">
        <v>279</v>
      </c>
      <c r="E5" s="1" t="s">
        <v>96</v>
      </c>
      <c r="F5" s="1" t="s">
        <v>97</v>
      </c>
      <c r="G5" s="1" t="s">
        <v>98</v>
      </c>
      <c r="H5" s="1" t="s">
        <v>99</v>
      </c>
      <c r="J5" s="15" t="s">
        <v>215</v>
      </c>
      <c r="K5" s="15">
        <v>1</v>
      </c>
      <c r="L5" s="15">
        <v>1</v>
      </c>
      <c r="M5" s="15">
        <v>0.78</v>
      </c>
      <c r="N5" s="15">
        <v>1</v>
      </c>
      <c r="O5" s="15">
        <v>1</v>
      </c>
      <c r="P5" s="15">
        <v>0.95</v>
      </c>
      <c r="Q5" s="15">
        <v>0.92</v>
      </c>
      <c r="R5" s="15">
        <v>0.88</v>
      </c>
      <c r="S5" s="15">
        <v>2.15</v>
      </c>
      <c r="T5" s="15">
        <v>1.85</v>
      </c>
      <c r="U5" s="15">
        <v>1.25</v>
      </c>
      <c r="V5" s="15" t="s">
        <v>195</v>
      </c>
      <c r="W5" s="15">
        <v>1</v>
      </c>
      <c r="X5" s="15" t="s">
        <v>176</v>
      </c>
      <c r="Y5" s="15"/>
    </row>
    <row r="6" spans="1:25" ht="72" thickBot="1" x14ac:dyDescent="0.25">
      <c r="A6" s="1">
        <v>3</v>
      </c>
      <c r="B6" s="1" t="s">
        <v>244</v>
      </c>
      <c r="C6" s="1" t="s">
        <v>265</v>
      </c>
      <c r="D6" s="1" t="s">
        <v>280</v>
      </c>
      <c r="E6" s="1" t="s">
        <v>100</v>
      </c>
      <c r="F6" s="1" t="s">
        <v>101</v>
      </c>
      <c r="G6" s="1" t="s">
        <v>102</v>
      </c>
      <c r="H6" s="1" t="s">
        <v>103</v>
      </c>
      <c r="J6" s="15" t="s">
        <v>218</v>
      </c>
      <c r="K6" s="15">
        <v>0.95</v>
      </c>
      <c r="L6" s="15">
        <v>0.89</v>
      </c>
      <c r="M6" s="15">
        <v>0.82</v>
      </c>
      <c r="N6" s="15">
        <v>0.91</v>
      </c>
      <c r="O6" s="15">
        <v>0.94</v>
      </c>
      <c r="P6" s="15">
        <v>0.9</v>
      </c>
      <c r="Q6" s="15">
        <v>0.88</v>
      </c>
      <c r="R6" s="15">
        <v>0.85</v>
      </c>
      <c r="S6" s="15">
        <v>1.98</v>
      </c>
      <c r="T6" s="15">
        <v>1.72</v>
      </c>
      <c r="U6" s="15">
        <v>1.18</v>
      </c>
      <c r="V6" s="15" t="s">
        <v>196</v>
      </c>
      <c r="W6" s="15">
        <v>2</v>
      </c>
      <c r="X6" s="15" t="s">
        <v>176</v>
      </c>
      <c r="Y6" s="15"/>
    </row>
    <row r="7" spans="1:25" ht="72" thickBot="1" x14ac:dyDescent="0.25">
      <c r="A7" s="1">
        <v>4</v>
      </c>
      <c r="B7" s="1" t="s">
        <v>245</v>
      </c>
      <c r="C7" s="1" t="s">
        <v>266</v>
      </c>
      <c r="D7" s="1" t="s">
        <v>281</v>
      </c>
      <c r="E7" s="1" t="s">
        <v>104</v>
      </c>
      <c r="F7" s="1" t="s">
        <v>105</v>
      </c>
      <c r="G7" s="1" t="s">
        <v>106</v>
      </c>
      <c r="H7" s="1" t="s">
        <v>107</v>
      </c>
      <c r="J7" s="15" t="s">
        <v>217</v>
      </c>
      <c r="K7" s="15">
        <v>0.92</v>
      </c>
      <c r="L7" s="15">
        <v>0.86</v>
      </c>
      <c r="M7" s="15">
        <v>0.75</v>
      </c>
      <c r="N7" s="15">
        <v>0.87</v>
      </c>
      <c r="O7" s="15">
        <v>0.89</v>
      </c>
      <c r="P7" s="15">
        <v>0.88</v>
      </c>
      <c r="Q7" s="15">
        <v>0.85</v>
      </c>
      <c r="R7" s="15">
        <v>0.82</v>
      </c>
      <c r="S7" s="15">
        <v>1.89</v>
      </c>
      <c r="T7" s="15">
        <v>1.65</v>
      </c>
      <c r="U7" s="15">
        <v>1.1200000000000001</v>
      </c>
      <c r="V7" s="15" t="s">
        <v>197</v>
      </c>
      <c r="W7" s="15">
        <v>3</v>
      </c>
      <c r="X7" s="15" t="s">
        <v>176</v>
      </c>
      <c r="Y7" s="15"/>
    </row>
    <row r="8" spans="1:25" ht="72" thickBot="1" x14ac:dyDescent="0.25">
      <c r="A8" s="1">
        <v>5</v>
      </c>
      <c r="B8" s="1" t="s">
        <v>246</v>
      </c>
      <c r="C8" s="1" t="s">
        <v>267</v>
      </c>
      <c r="D8" s="1" t="s">
        <v>282</v>
      </c>
      <c r="E8" s="1" t="s">
        <v>108</v>
      </c>
      <c r="F8" s="1" t="s">
        <v>109</v>
      </c>
      <c r="G8" s="1" t="s">
        <v>99</v>
      </c>
      <c r="H8" s="1" t="s">
        <v>110</v>
      </c>
      <c r="J8" s="15" t="s">
        <v>219</v>
      </c>
      <c r="K8" s="15">
        <v>0.41</v>
      </c>
      <c r="L8" s="15">
        <v>0.72</v>
      </c>
      <c r="M8" s="15">
        <v>1</v>
      </c>
      <c r="N8" s="15">
        <v>0.8</v>
      </c>
      <c r="O8" s="15">
        <v>0.76</v>
      </c>
      <c r="P8" s="15">
        <v>0.65</v>
      </c>
      <c r="Q8" s="15">
        <v>0.62</v>
      </c>
      <c r="R8" s="15">
        <v>0.7</v>
      </c>
      <c r="S8" s="15">
        <v>0.85</v>
      </c>
      <c r="T8" s="15">
        <v>1.52</v>
      </c>
      <c r="U8" s="15">
        <v>0.45</v>
      </c>
      <c r="V8" s="15" t="s">
        <v>198</v>
      </c>
      <c r="W8" s="15">
        <v>4</v>
      </c>
      <c r="X8" s="15" t="s">
        <v>177</v>
      </c>
      <c r="Y8" s="15"/>
    </row>
    <row r="9" spans="1:25" ht="72" thickBot="1" x14ac:dyDescent="0.25">
      <c r="A9" s="1">
        <v>6</v>
      </c>
      <c r="B9" s="1" t="s">
        <v>247</v>
      </c>
      <c r="C9" s="1" t="s">
        <v>268</v>
      </c>
      <c r="D9" s="1" t="s">
        <v>283</v>
      </c>
      <c r="E9" s="1" t="s">
        <v>111</v>
      </c>
      <c r="F9" s="1" t="s">
        <v>112</v>
      </c>
      <c r="G9" s="1" t="s">
        <v>113</v>
      </c>
      <c r="H9" s="1" t="s">
        <v>114</v>
      </c>
      <c r="J9" s="15" t="s">
        <v>220</v>
      </c>
      <c r="K9" s="15">
        <v>0.38</v>
      </c>
      <c r="L9" s="15">
        <v>0.65</v>
      </c>
      <c r="M9" s="15">
        <v>0.97</v>
      </c>
      <c r="N9" s="15">
        <v>0.76</v>
      </c>
      <c r="O9" s="15">
        <v>0.72</v>
      </c>
      <c r="P9" s="15">
        <v>0.62</v>
      </c>
      <c r="Q9" s="15">
        <v>0.57999999999999996</v>
      </c>
      <c r="R9" s="15">
        <v>0.68</v>
      </c>
      <c r="S9" s="15">
        <v>0.78</v>
      </c>
      <c r="T9" s="15">
        <v>1.45</v>
      </c>
      <c r="U9" s="15">
        <v>0.38</v>
      </c>
      <c r="V9" s="15" t="s">
        <v>199</v>
      </c>
      <c r="W9" s="15">
        <v>5</v>
      </c>
      <c r="X9" s="15" t="s">
        <v>177</v>
      </c>
      <c r="Y9" s="15"/>
    </row>
    <row r="10" spans="1:25" ht="72" thickBot="1" x14ac:dyDescent="0.25">
      <c r="A10" s="1">
        <v>7</v>
      </c>
      <c r="B10" s="1" t="s">
        <v>248</v>
      </c>
      <c r="C10" s="1" t="s">
        <v>269</v>
      </c>
      <c r="D10" s="1" t="s">
        <v>284</v>
      </c>
      <c r="E10" s="1" t="s">
        <v>115</v>
      </c>
      <c r="F10" s="1" t="s">
        <v>116</v>
      </c>
      <c r="G10" s="1" t="s">
        <v>117</v>
      </c>
      <c r="H10" s="1" t="s">
        <v>118</v>
      </c>
      <c r="J10" s="15" t="s">
        <v>221</v>
      </c>
      <c r="K10" s="15">
        <v>0.47</v>
      </c>
      <c r="L10" s="15">
        <v>0.41</v>
      </c>
      <c r="M10" s="15">
        <v>0.68</v>
      </c>
      <c r="N10" s="15">
        <v>0.61</v>
      </c>
      <c r="O10" s="15">
        <v>0.59</v>
      </c>
      <c r="P10" s="15">
        <v>0.75</v>
      </c>
      <c r="Q10" s="15">
        <v>0.72</v>
      </c>
      <c r="R10" s="15">
        <v>0.65</v>
      </c>
      <c r="S10" s="15">
        <v>1.25</v>
      </c>
      <c r="T10" s="15">
        <v>0.65</v>
      </c>
      <c r="U10" s="15">
        <v>0.72</v>
      </c>
      <c r="V10" s="15" t="s">
        <v>200</v>
      </c>
      <c r="W10" s="15">
        <v>6</v>
      </c>
      <c r="X10" s="15" t="s">
        <v>178</v>
      </c>
      <c r="Y10" s="15"/>
    </row>
    <row r="11" spans="1:25" ht="72" thickBot="1" x14ac:dyDescent="0.25">
      <c r="A11" s="1">
        <v>8</v>
      </c>
      <c r="B11" s="1" t="s">
        <v>249</v>
      </c>
      <c r="C11" s="1" t="s">
        <v>270</v>
      </c>
      <c r="D11" s="1" t="s">
        <v>285</v>
      </c>
      <c r="E11" s="1" t="s">
        <v>119</v>
      </c>
      <c r="F11" s="1" t="s">
        <v>120</v>
      </c>
      <c r="G11" s="1" t="s">
        <v>114</v>
      </c>
      <c r="H11" s="1" t="s">
        <v>121</v>
      </c>
      <c r="I11" s="1"/>
      <c r="J11" s="15" t="s">
        <v>222</v>
      </c>
      <c r="K11" s="15">
        <v>0.25</v>
      </c>
      <c r="L11" s="15">
        <v>0.43</v>
      </c>
      <c r="M11" s="15">
        <v>0.62</v>
      </c>
      <c r="N11" s="15">
        <v>0.65</v>
      </c>
      <c r="O11" s="15">
        <v>0.56000000000000005</v>
      </c>
      <c r="P11" s="15">
        <v>0.7</v>
      </c>
      <c r="Q11" s="15">
        <v>0.68</v>
      </c>
      <c r="R11" s="15">
        <v>0.62</v>
      </c>
      <c r="S11" s="15">
        <v>1.1200000000000001</v>
      </c>
      <c r="T11" s="15">
        <v>0.78</v>
      </c>
      <c r="U11" s="15">
        <v>0.57999999999999996</v>
      </c>
      <c r="V11" s="15" t="s">
        <v>201</v>
      </c>
      <c r="W11" s="15">
        <v>7</v>
      </c>
      <c r="X11" s="15" t="s">
        <v>178</v>
      </c>
      <c r="Y11" s="15"/>
    </row>
    <row r="12" spans="1:25" ht="72" thickBot="1" x14ac:dyDescent="0.25">
      <c r="A12" s="1">
        <v>9</v>
      </c>
      <c r="B12" s="1" t="s">
        <v>250</v>
      </c>
      <c r="C12" s="1" t="s">
        <v>271</v>
      </c>
      <c r="D12" s="1" t="s">
        <v>286</v>
      </c>
      <c r="E12" s="1" t="s">
        <v>122</v>
      </c>
      <c r="F12" s="1" t="s">
        <v>123</v>
      </c>
      <c r="G12" s="1" t="s">
        <v>124</v>
      </c>
      <c r="H12" s="1" t="s">
        <v>125</v>
      </c>
      <c r="I12" s="1"/>
      <c r="J12" s="15" t="s">
        <v>223</v>
      </c>
      <c r="K12" s="15">
        <v>0.49</v>
      </c>
      <c r="L12" s="15">
        <v>0.37</v>
      </c>
      <c r="M12" s="15">
        <v>0.7</v>
      </c>
      <c r="N12" s="15">
        <v>0.56999999999999995</v>
      </c>
      <c r="O12" s="15">
        <v>0.57999999999999996</v>
      </c>
      <c r="P12" s="15">
        <v>0.68</v>
      </c>
      <c r="Q12" s="15">
        <v>0.65</v>
      </c>
      <c r="R12" s="15">
        <v>0.6</v>
      </c>
      <c r="S12" s="15">
        <v>0.95</v>
      </c>
      <c r="T12" s="15">
        <v>0.52</v>
      </c>
      <c r="U12" s="15">
        <v>0.65</v>
      </c>
      <c r="V12" s="15" t="s">
        <v>202</v>
      </c>
      <c r="W12" s="15">
        <v>8</v>
      </c>
      <c r="X12" s="15" t="s">
        <v>178</v>
      </c>
      <c r="Y12" s="15"/>
    </row>
    <row r="13" spans="1:25" ht="72" thickBot="1" x14ac:dyDescent="0.25">
      <c r="A13" s="1">
        <v>10</v>
      </c>
      <c r="B13" s="1" t="s">
        <v>251</v>
      </c>
      <c r="C13" s="1" t="s">
        <v>272</v>
      </c>
      <c r="D13" s="1" t="s">
        <v>287</v>
      </c>
      <c r="E13" s="1" t="s">
        <v>126</v>
      </c>
      <c r="F13" s="1" t="s">
        <v>127</v>
      </c>
      <c r="G13" s="1" t="s">
        <v>125</v>
      </c>
      <c r="H13" s="1" t="s">
        <v>128</v>
      </c>
      <c r="I13" s="1"/>
      <c r="J13" s="15" t="s">
        <v>224</v>
      </c>
      <c r="K13" s="15">
        <v>0.44</v>
      </c>
      <c r="L13" s="15">
        <v>0.34</v>
      </c>
      <c r="M13" s="15">
        <v>0.65</v>
      </c>
      <c r="N13" s="15">
        <v>0.54</v>
      </c>
      <c r="O13" s="15">
        <v>0.53</v>
      </c>
      <c r="P13" s="15">
        <v>0.65</v>
      </c>
      <c r="Q13" s="15">
        <v>0.62</v>
      </c>
      <c r="R13" s="15">
        <v>0.57999999999999996</v>
      </c>
      <c r="S13" s="15">
        <v>1.02</v>
      </c>
      <c r="T13" s="15">
        <v>0.48</v>
      </c>
      <c r="U13" s="15">
        <v>0.55000000000000004</v>
      </c>
      <c r="V13" s="15" t="s">
        <v>203</v>
      </c>
      <c r="W13" s="15">
        <v>9</v>
      </c>
      <c r="X13" s="15" t="s">
        <v>178</v>
      </c>
      <c r="Y13" s="15"/>
    </row>
    <row r="14" spans="1:25" ht="72" thickBot="1" x14ac:dyDescent="0.25">
      <c r="A14" s="1">
        <v>11</v>
      </c>
      <c r="B14" s="1" t="s">
        <v>252</v>
      </c>
      <c r="C14" s="1" t="s">
        <v>273</v>
      </c>
      <c r="D14" s="1" t="s">
        <v>288</v>
      </c>
      <c r="E14" s="1" t="s">
        <v>129</v>
      </c>
      <c r="F14" s="1" t="s">
        <v>130</v>
      </c>
      <c r="G14" s="1" t="s">
        <v>103</v>
      </c>
      <c r="H14" s="1" t="s">
        <v>131</v>
      </c>
      <c r="I14" s="1"/>
      <c r="J14" s="15" t="s">
        <v>225</v>
      </c>
      <c r="K14" s="15">
        <v>0.98</v>
      </c>
      <c r="L14" s="15">
        <v>0.52</v>
      </c>
      <c r="M14" s="15">
        <v>0.73</v>
      </c>
      <c r="N14" s="15">
        <v>0.48</v>
      </c>
      <c r="O14" s="15">
        <v>0.51</v>
      </c>
      <c r="P14" s="15">
        <v>0.62</v>
      </c>
      <c r="Q14" s="15">
        <v>0.59</v>
      </c>
      <c r="R14" s="15">
        <v>0.55000000000000004</v>
      </c>
      <c r="S14" s="15">
        <v>0.88</v>
      </c>
      <c r="T14" s="15">
        <v>0.35</v>
      </c>
      <c r="U14" s="15">
        <v>1.05</v>
      </c>
      <c r="V14" s="15" t="s">
        <v>204</v>
      </c>
      <c r="W14" s="15">
        <v>10</v>
      </c>
      <c r="X14" s="15" t="s">
        <v>178</v>
      </c>
      <c r="Y14" s="15"/>
    </row>
    <row r="15" spans="1:25" ht="72" thickBot="1" x14ac:dyDescent="0.25">
      <c r="A15" s="1">
        <v>12</v>
      </c>
      <c r="B15" s="1" t="s">
        <v>253</v>
      </c>
      <c r="C15" s="1" t="s">
        <v>274</v>
      </c>
      <c r="D15" s="1" t="s">
        <v>289</v>
      </c>
      <c r="E15" s="1" t="s">
        <v>132</v>
      </c>
      <c r="F15" s="1" t="s">
        <v>254</v>
      </c>
      <c r="G15" s="1" t="s">
        <v>133</v>
      </c>
      <c r="H15" s="1" t="s">
        <v>134</v>
      </c>
      <c r="I15" s="1"/>
      <c r="J15" s="15" t="s">
        <v>226</v>
      </c>
      <c r="K15" s="15">
        <v>0.4</v>
      </c>
      <c r="L15" s="15">
        <v>0.35</v>
      </c>
      <c r="M15" s="15">
        <v>0.59</v>
      </c>
      <c r="N15" s="15">
        <v>0.51</v>
      </c>
      <c r="O15" s="15">
        <v>0.52</v>
      </c>
      <c r="P15" s="15">
        <v>0.6</v>
      </c>
      <c r="Q15" s="15">
        <v>0.56999999999999995</v>
      </c>
      <c r="R15" s="15">
        <v>0.52</v>
      </c>
      <c r="S15" s="15">
        <v>0.9</v>
      </c>
      <c r="T15" s="15">
        <v>0.42</v>
      </c>
      <c r="U15" s="15">
        <v>0.5</v>
      </c>
      <c r="V15" s="15" t="s">
        <v>205</v>
      </c>
      <c r="W15" s="15">
        <v>11</v>
      </c>
      <c r="X15" s="15" t="s">
        <v>178</v>
      </c>
      <c r="Y15" s="15"/>
    </row>
    <row r="16" spans="1:25" ht="72" thickBot="1" x14ac:dyDescent="0.25">
      <c r="A16" s="1">
        <v>13</v>
      </c>
      <c r="B16" s="1" t="s">
        <v>290</v>
      </c>
      <c r="C16" s="1" t="s">
        <v>275</v>
      </c>
      <c r="D16" s="1" t="s">
        <v>291</v>
      </c>
      <c r="E16" s="1" t="s">
        <v>255</v>
      </c>
      <c r="F16" s="1" t="s">
        <v>112</v>
      </c>
      <c r="G16" s="1" t="s">
        <v>125</v>
      </c>
      <c r="H16" s="1" t="s">
        <v>128</v>
      </c>
      <c r="I16" s="1"/>
      <c r="J16" s="15" t="s">
        <v>227</v>
      </c>
      <c r="K16" s="15">
        <v>0</v>
      </c>
      <c r="L16" s="15">
        <v>0.31</v>
      </c>
      <c r="M16" s="15">
        <v>0.61</v>
      </c>
      <c r="N16" s="15">
        <v>0.7</v>
      </c>
      <c r="O16" s="15">
        <v>0.62</v>
      </c>
      <c r="P16" s="15">
        <v>0.72</v>
      </c>
      <c r="Q16" s="15">
        <v>0.69</v>
      </c>
      <c r="R16" s="15">
        <v>0.5</v>
      </c>
      <c r="S16" s="15">
        <v>1.1499999999999999</v>
      </c>
      <c r="T16" s="15">
        <v>0.25</v>
      </c>
      <c r="U16" s="15">
        <v>-0.85</v>
      </c>
      <c r="V16" s="15" t="s">
        <v>206</v>
      </c>
      <c r="W16" s="15">
        <v>12</v>
      </c>
      <c r="X16" s="15" t="s">
        <v>178</v>
      </c>
      <c r="Y16" s="15"/>
    </row>
    <row r="17" spans="1:25" ht="86.25" thickBot="1" x14ac:dyDescent="0.25">
      <c r="A17" s="1">
        <v>14</v>
      </c>
      <c r="B17" s="1" t="s">
        <v>292</v>
      </c>
      <c r="C17" s="1" t="s">
        <v>276</v>
      </c>
      <c r="D17" s="1" t="s">
        <v>293</v>
      </c>
      <c r="E17" s="1" t="s">
        <v>126</v>
      </c>
      <c r="F17" s="1" t="s">
        <v>256</v>
      </c>
      <c r="G17" s="1" t="s">
        <v>128</v>
      </c>
      <c r="H17" s="1" t="s">
        <v>128</v>
      </c>
      <c r="I17" s="1"/>
      <c r="J17" s="15" t="s">
        <v>228</v>
      </c>
      <c r="K17" s="15">
        <v>0.22</v>
      </c>
      <c r="L17" s="15">
        <v>0.08</v>
      </c>
      <c r="M17" s="15">
        <v>0.1</v>
      </c>
      <c r="N17" s="15">
        <v>0.21</v>
      </c>
      <c r="O17" s="15">
        <v>0.2</v>
      </c>
      <c r="P17" s="15">
        <v>0.45</v>
      </c>
      <c r="Q17" s="15">
        <v>0.42</v>
      </c>
      <c r="R17" s="15">
        <v>0.4</v>
      </c>
      <c r="S17" s="15">
        <v>-0.55000000000000004</v>
      </c>
      <c r="T17" s="15">
        <v>-1.25</v>
      </c>
      <c r="U17" s="15">
        <v>0.25</v>
      </c>
      <c r="V17" s="15" t="s">
        <v>207</v>
      </c>
      <c r="W17" s="15">
        <v>13</v>
      </c>
      <c r="X17" s="15" t="s">
        <v>179</v>
      </c>
      <c r="Y17" s="15"/>
    </row>
    <row r="18" spans="1:25" ht="86.25" thickBot="1" x14ac:dyDescent="0.25">
      <c r="A18" s="1">
        <v>15</v>
      </c>
      <c r="B18" s="1" t="s">
        <v>294</v>
      </c>
      <c r="C18" s="1" t="s">
        <v>277</v>
      </c>
      <c r="D18" s="1" t="s">
        <v>295</v>
      </c>
      <c r="E18" s="1" t="s">
        <v>257</v>
      </c>
      <c r="F18" s="1" t="s">
        <v>101</v>
      </c>
      <c r="G18" s="1" t="s">
        <v>135</v>
      </c>
      <c r="H18" s="1" t="s">
        <v>102</v>
      </c>
      <c r="I18" s="1"/>
      <c r="J18" s="15" t="s">
        <v>229</v>
      </c>
      <c r="K18" s="15">
        <v>0.18</v>
      </c>
      <c r="L18" s="15">
        <v>0.12</v>
      </c>
      <c r="M18" s="15">
        <v>0.15</v>
      </c>
      <c r="N18" s="15">
        <v>0.17</v>
      </c>
      <c r="O18" s="15">
        <v>0.16</v>
      </c>
      <c r="P18" s="15">
        <v>0.42</v>
      </c>
      <c r="Q18" s="15">
        <v>0.39</v>
      </c>
      <c r="R18" s="15">
        <v>0.38</v>
      </c>
      <c r="S18" s="15">
        <v>-0.72</v>
      </c>
      <c r="T18" s="15">
        <v>-1.18</v>
      </c>
      <c r="U18" s="15">
        <v>0.18</v>
      </c>
      <c r="V18" s="15" t="s">
        <v>208</v>
      </c>
      <c r="W18" s="15">
        <v>14</v>
      </c>
      <c r="X18" s="15" t="s">
        <v>179</v>
      </c>
      <c r="Y18" s="15"/>
    </row>
    <row r="19" spans="1:25" ht="86.25" thickBot="1" x14ac:dyDescent="0.25">
      <c r="A19" s="1">
        <v>16</v>
      </c>
      <c r="B19" s="1" t="s">
        <v>296</v>
      </c>
      <c r="C19" s="1" t="s">
        <v>276</v>
      </c>
      <c r="D19" s="1" t="s">
        <v>297</v>
      </c>
      <c r="E19" s="1" t="s">
        <v>258</v>
      </c>
      <c r="F19" s="1" t="s">
        <v>136</v>
      </c>
      <c r="G19" s="1" t="s">
        <v>135</v>
      </c>
      <c r="H19" s="1" t="s">
        <v>113</v>
      </c>
      <c r="I19" s="1"/>
      <c r="J19" s="15" t="s">
        <v>346</v>
      </c>
      <c r="K19" s="15">
        <v>0.2</v>
      </c>
      <c r="L19" s="15">
        <v>0.05</v>
      </c>
      <c r="M19" s="15">
        <v>0.18</v>
      </c>
      <c r="N19" s="15">
        <v>0.13</v>
      </c>
      <c r="O19" s="15">
        <v>0.18</v>
      </c>
      <c r="P19" s="15">
        <v>0.4</v>
      </c>
      <c r="Q19" s="15">
        <v>0.37</v>
      </c>
      <c r="R19" s="15">
        <v>0.35</v>
      </c>
      <c r="S19" s="15">
        <v>-0.68</v>
      </c>
      <c r="T19" s="15">
        <v>-1.22</v>
      </c>
      <c r="U19" s="15">
        <v>0.22</v>
      </c>
      <c r="V19" s="15" t="s">
        <v>209</v>
      </c>
      <c r="W19" s="15">
        <v>15</v>
      </c>
      <c r="X19" s="15" t="s">
        <v>179</v>
      </c>
      <c r="Y19" s="15"/>
    </row>
    <row r="20" spans="1:25" ht="86.25" thickBot="1" x14ac:dyDescent="0.25">
      <c r="A20" s="15"/>
      <c r="B20" s="15"/>
      <c r="C20" s="15"/>
      <c r="D20" s="15"/>
      <c r="E20" s="15"/>
      <c r="F20" s="15"/>
      <c r="G20" s="15"/>
      <c r="H20" s="15"/>
      <c r="I20" s="1"/>
      <c r="J20" s="15" t="s">
        <v>216</v>
      </c>
      <c r="K20" s="15">
        <v>0.26</v>
      </c>
      <c r="L20" s="15">
        <v>0</v>
      </c>
      <c r="M20" s="15">
        <v>0.22</v>
      </c>
      <c r="N20" s="15">
        <v>0</v>
      </c>
      <c r="O20" s="15">
        <v>0</v>
      </c>
      <c r="P20" s="15">
        <v>0.35</v>
      </c>
      <c r="Q20" s="15">
        <v>0.32</v>
      </c>
      <c r="R20" s="15">
        <v>0.3</v>
      </c>
      <c r="S20" s="15">
        <v>-1.05</v>
      </c>
      <c r="T20" s="15">
        <v>-1.35</v>
      </c>
      <c r="U20" s="15">
        <v>-0.15</v>
      </c>
      <c r="V20" s="15" t="s">
        <v>210</v>
      </c>
      <c r="W20" s="15">
        <v>16</v>
      </c>
      <c r="X20" s="15" t="s">
        <v>179</v>
      </c>
      <c r="Y20" s="15"/>
    </row>
    <row r="21" spans="1:25" ht="15" thickBo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25" ht="15" thickBot="1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25" ht="15" thickBot="1" x14ac:dyDescent="0.25">
      <c r="J23" s="19" t="s">
        <v>181</v>
      </c>
    </row>
    <row r="24" spans="1:25" ht="28.5" customHeight="1" thickBot="1" x14ac:dyDescent="0.25">
      <c r="A24" s="2" t="s">
        <v>140</v>
      </c>
      <c r="B24" s="2" t="s">
        <v>141</v>
      </c>
      <c r="C24" s="2" t="s">
        <v>142</v>
      </c>
      <c r="D24" s="2" t="s">
        <v>143</v>
      </c>
      <c r="E24" s="2" t="s">
        <v>144</v>
      </c>
      <c r="J24" s="18" t="s">
        <v>79</v>
      </c>
      <c r="K24" s="18" t="s">
        <v>171</v>
      </c>
      <c r="L24" s="18" t="s">
        <v>172</v>
      </c>
      <c r="M24" s="18" t="s">
        <v>173</v>
      </c>
      <c r="N24" s="18" t="s">
        <v>139</v>
      </c>
      <c r="O24" s="17" t="s">
        <v>174</v>
      </c>
      <c r="P24" s="17" t="s">
        <v>175</v>
      </c>
    </row>
    <row r="25" spans="1:25" ht="28.5" customHeight="1" thickBot="1" x14ac:dyDescent="0.25">
      <c r="A25" s="1" t="s">
        <v>145</v>
      </c>
      <c r="B25" s="1">
        <v>9.25</v>
      </c>
      <c r="C25" s="1">
        <v>3.86</v>
      </c>
      <c r="D25" s="16">
        <v>0.41699999999999998</v>
      </c>
      <c r="E25" s="1" t="s">
        <v>146</v>
      </c>
      <c r="J25" s="1">
        <v>12</v>
      </c>
      <c r="K25" s="1">
        <v>2.15</v>
      </c>
      <c r="L25" s="1">
        <v>1.85</v>
      </c>
      <c r="M25" s="1">
        <v>1.25</v>
      </c>
      <c r="N25" s="1">
        <v>1.97</v>
      </c>
      <c r="O25" s="1">
        <v>1</v>
      </c>
      <c r="P25" s="1" t="s">
        <v>176</v>
      </c>
    </row>
    <row r="26" spans="1:25" ht="28.5" customHeight="1" thickBot="1" x14ac:dyDescent="0.25">
      <c r="A26" s="1" t="s">
        <v>147</v>
      </c>
      <c r="B26" s="1">
        <v>5.12</v>
      </c>
      <c r="C26" s="1">
        <v>1.05</v>
      </c>
      <c r="D26" s="16">
        <v>0.20499999999999999</v>
      </c>
      <c r="E26" s="1" t="s">
        <v>146</v>
      </c>
      <c r="J26" s="1">
        <v>15</v>
      </c>
      <c r="K26" s="1">
        <v>1.98</v>
      </c>
      <c r="L26" s="1">
        <v>1.72</v>
      </c>
      <c r="M26" s="1">
        <v>1.18</v>
      </c>
      <c r="N26" s="1">
        <v>1.83</v>
      </c>
      <c r="O26" s="1">
        <v>2</v>
      </c>
      <c r="P26" s="1" t="s">
        <v>176</v>
      </c>
    </row>
    <row r="27" spans="1:25" ht="28.5" customHeight="1" thickBot="1" x14ac:dyDescent="0.25">
      <c r="A27" s="1" t="s">
        <v>152</v>
      </c>
      <c r="B27" s="1">
        <v>13.58</v>
      </c>
      <c r="C27" s="1">
        <v>4.21</v>
      </c>
      <c r="D27" s="16">
        <v>0.31</v>
      </c>
      <c r="E27" s="1" t="s">
        <v>146</v>
      </c>
      <c r="J27" s="1">
        <v>16</v>
      </c>
      <c r="K27" s="1">
        <v>1.89</v>
      </c>
      <c r="L27" s="1">
        <v>1.65</v>
      </c>
      <c r="M27" s="1">
        <v>1.1200000000000001</v>
      </c>
      <c r="N27" s="1">
        <v>1.74</v>
      </c>
      <c r="O27" s="1">
        <v>3</v>
      </c>
      <c r="P27" s="1" t="s">
        <v>176</v>
      </c>
    </row>
    <row r="28" spans="1:25" ht="28.5" customHeight="1" thickBot="1" x14ac:dyDescent="0.25">
      <c r="A28" s="1" t="s">
        <v>148</v>
      </c>
      <c r="B28" s="1">
        <v>1.52</v>
      </c>
      <c r="C28" s="1">
        <v>0.68</v>
      </c>
      <c r="D28" s="16">
        <v>0.44700000000000001</v>
      </c>
      <c r="E28" s="1" t="s">
        <v>149</v>
      </c>
      <c r="J28" s="1">
        <v>3</v>
      </c>
      <c r="K28" s="1">
        <v>0.85</v>
      </c>
      <c r="L28" s="1">
        <v>1.52</v>
      </c>
      <c r="M28" s="1">
        <v>0.45</v>
      </c>
      <c r="N28" s="1">
        <v>1.02</v>
      </c>
      <c r="O28" s="1">
        <v>4</v>
      </c>
      <c r="P28" s="1" t="s">
        <v>177</v>
      </c>
    </row>
    <row r="29" spans="1:25" ht="28.5" customHeight="1" thickBot="1" x14ac:dyDescent="0.25">
      <c r="A29" s="1" t="s">
        <v>150</v>
      </c>
      <c r="B29" s="1">
        <v>52.3</v>
      </c>
      <c r="C29" s="1">
        <v>14.8</v>
      </c>
      <c r="D29" s="16">
        <v>0.28299999999999997</v>
      </c>
      <c r="E29" s="1" t="s">
        <v>146</v>
      </c>
      <c r="J29" s="1">
        <v>6</v>
      </c>
      <c r="K29" s="1">
        <v>0.78</v>
      </c>
      <c r="L29" s="1">
        <v>1.45</v>
      </c>
      <c r="M29" s="1">
        <v>0.38</v>
      </c>
      <c r="N29" s="1">
        <v>0.94</v>
      </c>
      <c r="O29" s="1">
        <v>5</v>
      </c>
      <c r="P29" s="1" t="s">
        <v>177</v>
      </c>
    </row>
    <row r="30" spans="1:25" ht="28.5" customHeight="1" thickBot="1" x14ac:dyDescent="0.25">
      <c r="A30" s="1" t="s">
        <v>151</v>
      </c>
      <c r="B30" s="1">
        <v>45.6</v>
      </c>
      <c r="C30" s="1">
        <v>12.3</v>
      </c>
      <c r="D30" s="16">
        <v>0.27</v>
      </c>
      <c r="E30" s="1" t="s">
        <v>146</v>
      </c>
      <c r="J30" s="1">
        <v>8</v>
      </c>
      <c r="K30" s="1">
        <v>1.25</v>
      </c>
      <c r="L30" s="1">
        <v>0.65</v>
      </c>
      <c r="M30" s="1">
        <v>0.72</v>
      </c>
      <c r="N30" s="1">
        <v>0.91</v>
      </c>
      <c r="O30" s="1">
        <v>6</v>
      </c>
      <c r="P30" s="1" t="s">
        <v>178</v>
      </c>
    </row>
    <row r="31" spans="1:25" ht="28.5" customHeight="1" thickBot="1" x14ac:dyDescent="0.25">
      <c r="J31" s="1">
        <v>11</v>
      </c>
      <c r="K31" s="1">
        <v>1.1200000000000001</v>
      </c>
      <c r="L31" s="1">
        <v>0.78</v>
      </c>
      <c r="M31" s="1">
        <v>0.57999999999999996</v>
      </c>
      <c r="N31" s="1">
        <v>0.88</v>
      </c>
      <c r="O31" s="1">
        <v>7</v>
      </c>
      <c r="P31" s="1" t="s">
        <v>178</v>
      </c>
    </row>
    <row r="32" spans="1:25" ht="28.5" customHeight="1" thickBot="1" x14ac:dyDescent="0.25">
      <c r="J32" s="1">
        <v>1</v>
      </c>
      <c r="K32" s="1">
        <v>0.95</v>
      </c>
      <c r="L32" s="1">
        <v>0.52</v>
      </c>
      <c r="M32" s="1">
        <v>0.65</v>
      </c>
      <c r="N32" s="1">
        <v>0.76</v>
      </c>
      <c r="O32" s="1">
        <v>8</v>
      </c>
      <c r="P32" s="1" t="s">
        <v>178</v>
      </c>
    </row>
    <row r="33" spans="1:16" ht="28.5" customHeight="1" thickBot="1" x14ac:dyDescent="0.25">
      <c r="A33" s="15" t="s">
        <v>223</v>
      </c>
      <c r="J33" s="1">
        <v>7</v>
      </c>
      <c r="K33" s="1">
        <v>1.02</v>
      </c>
      <c r="L33" s="1">
        <v>0.48</v>
      </c>
      <c r="M33" s="1">
        <v>0.55000000000000004</v>
      </c>
      <c r="N33" s="1">
        <v>0.75</v>
      </c>
      <c r="O33" s="1">
        <v>9</v>
      </c>
      <c r="P33" s="1" t="s">
        <v>178</v>
      </c>
    </row>
    <row r="34" spans="1:16" ht="28.5" customHeight="1" thickBot="1" x14ac:dyDescent="0.25">
      <c r="A34" s="15" t="s">
        <v>228</v>
      </c>
      <c r="J34" s="1">
        <v>14</v>
      </c>
      <c r="K34" s="1">
        <v>0.88</v>
      </c>
      <c r="L34" s="1">
        <v>0.35</v>
      </c>
      <c r="M34" s="1">
        <v>1.05</v>
      </c>
      <c r="N34" s="1">
        <v>0.72</v>
      </c>
      <c r="O34" s="1">
        <v>10</v>
      </c>
      <c r="P34" s="1" t="s">
        <v>178</v>
      </c>
    </row>
    <row r="35" spans="1:16" ht="28.5" customHeight="1" thickBot="1" x14ac:dyDescent="0.25">
      <c r="A35" s="15" t="s">
        <v>219</v>
      </c>
      <c r="J35" s="1">
        <v>10</v>
      </c>
      <c r="K35" s="1">
        <v>0.9</v>
      </c>
      <c r="L35" s="1">
        <v>0.42</v>
      </c>
      <c r="M35" s="1">
        <v>0.5</v>
      </c>
      <c r="N35" s="1">
        <v>0.69</v>
      </c>
      <c r="O35" s="1">
        <v>11</v>
      </c>
      <c r="P35" s="1" t="s">
        <v>178</v>
      </c>
    </row>
    <row r="36" spans="1:16" ht="28.5" customHeight="1" thickBot="1" x14ac:dyDescent="0.25">
      <c r="A36" s="15" t="s">
        <v>229</v>
      </c>
      <c r="J36" s="1">
        <v>9</v>
      </c>
      <c r="K36" s="1">
        <v>1.1499999999999999</v>
      </c>
      <c r="L36" s="1">
        <v>0.25</v>
      </c>
      <c r="M36" s="1">
        <v>-0.85</v>
      </c>
      <c r="N36" s="1">
        <v>0.56000000000000005</v>
      </c>
      <c r="O36" s="1">
        <v>12</v>
      </c>
      <c r="P36" s="1" t="s">
        <v>178</v>
      </c>
    </row>
    <row r="37" spans="1:16" ht="28.5" customHeight="1" thickBot="1" x14ac:dyDescent="0.25">
      <c r="A37" s="15" t="s">
        <v>230</v>
      </c>
      <c r="J37" s="1">
        <v>2</v>
      </c>
      <c r="K37" s="1">
        <v>-0.55000000000000004</v>
      </c>
      <c r="L37" s="1">
        <v>-1.25</v>
      </c>
      <c r="M37" s="1">
        <v>0.25</v>
      </c>
      <c r="N37" s="1">
        <v>-0.63</v>
      </c>
      <c r="O37" s="1">
        <v>13</v>
      </c>
      <c r="P37" s="1" t="s">
        <v>179</v>
      </c>
    </row>
    <row r="38" spans="1:16" ht="28.5" customHeight="1" thickBot="1" x14ac:dyDescent="0.25">
      <c r="A38" s="15" t="s">
        <v>220</v>
      </c>
      <c r="J38" s="1">
        <v>4</v>
      </c>
      <c r="K38" s="1">
        <v>-0.72</v>
      </c>
      <c r="L38" s="1">
        <v>-1.18</v>
      </c>
      <c r="M38" s="1">
        <v>0.18</v>
      </c>
      <c r="N38" s="1">
        <v>-0.71</v>
      </c>
      <c r="O38" s="1">
        <v>14</v>
      </c>
      <c r="P38" s="1" t="s">
        <v>179</v>
      </c>
    </row>
    <row r="39" spans="1:16" ht="28.5" customHeight="1" thickBot="1" x14ac:dyDescent="0.25">
      <c r="A39" s="15" t="s">
        <v>224</v>
      </c>
      <c r="J39" s="1">
        <v>5</v>
      </c>
      <c r="K39" s="1">
        <v>-0.68</v>
      </c>
      <c r="L39" s="1">
        <v>-1.22</v>
      </c>
      <c r="M39" s="1">
        <v>0.22</v>
      </c>
      <c r="N39" s="1">
        <v>-0.72</v>
      </c>
      <c r="O39" s="1">
        <v>15</v>
      </c>
      <c r="P39" s="1" t="s">
        <v>179</v>
      </c>
    </row>
    <row r="40" spans="1:16" ht="28.5" customHeight="1" thickBot="1" x14ac:dyDescent="0.25">
      <c r="A40" s="15" t="s">
        <v>221</v>
      </c>
      <c r="J40" s="1">
        <v>13</v>
      </c>
      <c r="K40" s="1">
        <v>-1.05</v>
      </c>
      <c r="L40" s="1">
        <v>-1.35</v>
      </c>
      <c r="M40" s="1">
        <v>-0.15</v>
      </c>
      <c r="N40" s="1">
        <v>-1.0900000000000001</v>
      </c>
      <c r="O40" s="1">
        <v>16</v>
      </c>
      <c r="P40" s="1" t="s">
        <v>179</v>
      </c>
    </row>
    <row r="41" spans="1:16" ht="15" thickBot="1" x14ac:dyDescent="0.25">
      <c r="A41" s="15" t="s">
        <v>227</v>
      </c>
    </row>
    <row r="42" spans="1:16" ht="29.25" thickBot="1" x14ac:dyDescent="0.25">
      <c r="A42" s="15" t="s">
        <v>226</v>
      </c>
      <c r="J42" s="22" t="s">
        <v>180</v>
      </c>
      <c r="K42" s="22"/>
      <c r="L42" s="22"/>
      <c r="M42" s="22"/>
      <c r="N42" s="22"/>
      <c r="O42" s="22"/>
      <c r="P42" s="22"/>
    </row>
    <row r="43" spans="1:16" ht="15" thickBot="1" x14ac:dyDescent="0.25">
      <c r="A43" s="15" t="s">
        <v>222</v>
      </c>
      <c r="J43" s="22"/>
      <c r="K43" s="22"/>
      <c r="L43" s="22"/>
      <c r="M43" s="22"/>
      <c r="N43" s="22"/>
      <c r="O43" s="22"/>
      <c r="P43" s="22"/>
    </row>
    <row r="44" spans="1:16" ht="15" thickBot="1" x14ac:dyDescent="0.25">
      <c r="A44" s="15" t="s">
        <v>215</v>
      </c>
      <c r="J44" s="22"/>
      <c r="K44" s="22"/>
      <c r="L44" s="22"/>
      <c r="M44" s="22"/>
      <c r="N44" s="22"/>
      <c r="O44" s="22"/>
      <c r="P44" s="22"/>
    </row>
    <row r="45" spans="1:16" ht="29.25" thickBot="1" x14ac:dyDescent="0.25">
      <c r="A45" s="15" t="s">
        <v>216</v>
      </c>
      <c r="J45" s="22"/>
      <c r="K45" s="22"/>
      <c r="L45" s="22"/>
      <c r="M45" s="22"/>
      <c r="N45" s="22"/>
      <c r="O45" s="22"/>
      <c r="P45" s="22"/>
    </row>
    <row r="46" spans="1:16" ht="15" thickBot="1" x14ac:dyDescent="0.25">
      <c r="A46" s="15" t="s">
        <v>225</v>
      </c>
      <c r="J46" s="22"/>
      <c r="K46" s="22"/>
      <c r="L46" s="22"/>
      <c r="M46" s="22"/>
      <c r="N46" s="22"/>
      <c r="O46" s="22"/>
      <c r="P46" s="22"/>
    </row>
    <row r="47" spans="1:16" ht="15" thickBot="1" x14ac:dyDescent="0.25">
      <c r="A47" s="15" t="s">
        <v>218</v>
      </c>
      <c r="J47" s="22"/>
      <c r="K47" s="22"/>
      <c r="L47" s="22"/>
      <c r="M47" s="22"/>
      <c r="N47" s="22"/>
      <c r="O47" s="22"/>
      <c r="P47" s="22"/>
    </row>
    <row r="48" spans="1:16" ht="15" thickBot="1" x14ac:dyDescent="0.25">
      <c r="A48" s="15" t="s">
        <v>217</v>
      </c>
      <c r="J48" s="22"/>
      <c r="K48" s="22"/>
      <c r="L48" s="22"/>
      <c r="M48" s="22"/>
      <c r="N48" s="22"/>
      <c r="O48" s="22"/>
      <c r="P48" s="22"/>
    </row>
  </sheetData>
  <mergeCells count="1">
    <mergeCell ref="J42:P48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D80F-84DD-4289-9848-695869528AC7}">
  <dimension ref="A1:S14"/>
  <sheetViews>
    <sheetView tabSelected="1" topLeftCell="A2" zoomScale="85" zoomScaleNormal="85" workbookViewId="0">
      <selection activeCell="A9" sqref="A9:H14"/>
    </sheetView>
  </sheetViews>
  <sheetFormatPr defaultRowHeight="14.25" x14ac:dyDescent="0.2"/>
  <cols>
    <col min="17" max="17" width="8.375" bestFit="1" customWidth="1"/>
  </cols>
  <sheetData>
    <row r="1" spans="1:19" ht="29.25" thickBot="1" x14ac:dyDescent="0.25">
      <c r="A1" s="2" t="s">
        <v>79</v>
      </c>
      <c r="B1" s="2" t="s">
        <v>185</v>
      </c>
      <c r="C1" s="2" t="s">
        <v>186</v>
      </c>
      <c r="D1" s="2" t="s">
        <v>138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2" t="s">
        <v>192</v>
      </c>
      <c r="K1" s="2" t="s">
        <v>193</v>
      </c>
      <c r="L1" s="2" t="s">
        <v>194</v>
      </c>
      <c r="M1" s="2" t="s">
        <v>347</v>
      </c>
      <c r="N1" s="2" t="s">
        <v>139</v>
      </c>
      <c r="O1" s="2" t="s">
        <v>174</v>
      </c>
      <c r="P1" s="2" t="s">
        <v>175</v>
      </c>
    </row>
    <row r="2" spans="1:19" ht="72" thickBot="1" x14ac:dyDescent="0.25">
      <c r="A2" s="1" t="s">
        <v>348</v>
      </c>
      <c r="B2" s="1">
        <v>1</v>
      </c>
      <c r="C2" s="1">
        <v>1</v>
      </c>
      <c r="D2" s="1">
        <v>0.78</v>
      </c>
      <c r="E2" s="1">
        <v>1</v>
      </c>
      <c r="F2" s="1">
        <v>1</v>
      </c>
      <c r="G2" s="1">
        <v>0.95</v>
      </c>
      <c r="H2" s="1">
        <v>0.92</v>
      </c>
      <c r="I2" s="1">
        <v>0.88</v>
      </c>
      <c r="J2" s="1">
        <v>2.15</v>
      </c>
      <c r="K2" s="1">
        <v>1.85</v>
      </c>
      <c r="L2" s="1">
        <v>1.25</v>
      </c>
      <c r="M2" s="1" t="s">
        <v>356</v>
      </c>
      <c r="N2" s="1">
        <v>1.96</v>
      </c>
      <c r="O2" s="1">
        <v>1</v>
      </c>
      <c r="P2" s="1" t="s">
        <v>176</v>
      </c>
    </row>
    <row r="3" spans="1:19" ht="72" thickBot="1" x14ac:dyDescent="0.25">
      <c r="A3" s="1" t="s">
        <v>375</v>
      </c>
      <c r="B3" s="1">
        <v>0.47</v>
      </c>
      <c r="C3" s="1">
        <v>0.41</v>
      </c>
      <c r="D3" s="1">
        <v>0.68</v>
      </c>
      <c r="E3" s="1">
        <v>0.61</v>
      </c>
      <c r="F3" s="1">
        <v>0.59</v>
      </c>
      <c r="G3" s="1">
        <v>0.75</v>
      </c>
      <c r="H3" s="1">
        <v>0.72</v>
      </c>
      <c r="I3" s="1">
        <v>0.65</v>
      </c>
      <c r="J3" s="1">
        <v>1.25</v>
      </c>
      <c r="K3" s="1">
        <v>0.65</v>
      </c>
      <c r="L3" s="1">
        <v>0.72</v>
      </c>
      <c r="M3" s="1" t="s">
        <v>349</v>
      </c>
      <c r="N3" s="1">
        <v>1.02</v>
      </c>
      <c r="O3" s="1">
        <v>2</v>
      </c>
      <c r="P3" s="1" t="s">
        <v>177</v>
      </c>
    </row>
    <row r="4" spans="1:19" ht="72" thickBot="1" x14ac:dyDescent="0.25">
      <c r="A4" s="1" t="s">
        <v>350</v>
      </c>
      <c r="B4" s="1">
        <v>0.25</v>
      </c>
      <c r="C4" s="1">
        <v>0.43</v>
      </c>
      <c r="D4" s="1">
        <v>0.62</v>
      </c>
      <c r="E4" s="1">
        <v>0.65</v>
      </c>
      <c r="F4" s="1">
        <v>0.56000000000000005</v>
      </c>
      <c r="G4" s="1">
        <v>0.7</v>
      </c>
      <c r="H4" s="1">
        <v>0.68</v>
      </c>
      <c r="I4" s="1">
        <v>0.62</v>
      </c>
      <c r="J4" s="1">
        <v>1.1200000000000001</v>
      </c>
      <c r="K4" s="1">
        <v>0.78</v>
      </c>
      <c r="L4" s="1">
        <v>0.57999999999999996</v>
      </c>
      <c r="M4" s="1" t="s">
        <v>351</v>
      </c>
      <c r="N4" s="1">
        <v>0.96</v>
      </c>
      <c r="O4" s="1">
        <v>3</v>
      </c>
      <c r="P4" s="1" t="s">
        <v>178</v>
      </c>
    </row>
    <row r="5" spans="1:19" ht="72" thickBot="1" x14ac:dyDescent="0.25">
      <c r="A5" s="1" t="s">
        <v>352</v>
      </c>
      <c r="B5" s="1">
        <v>0.4</v>
      </c>
      <c r="C5" s="1">
        <v>0.35</v>
      </c>
      <c r="D5" s="1">
        <v>0.59</v>
      </c>
      <c r="E5" s="1">
        <v>0.51</v>
      </c>
      <c r="F5" s="1">
        <v>0.52</v>
      </c>
      <c r="G5" s="1">
        <v>0.6</v>
      </c>
      <c r="H5" s="1">
        <v>0.56999999999999995</v>
      </c>
      <c r="I5" s="1">
        <v>0.52</v>
      </c>
      <c r="J5" s="1">
        <v>0.9</v>
      </c>
      <c r="K5" s="1">
        <v>0.42</v>
      </c>
      <c r="L5" s="1">
        <v>0.5</v>
      </c>
      <c r="M5" s="1" t="s">
        <v>353</v>
      </c>
      <c r="N5" s="1">
        <v>0.69</v>
      </c>
      <c r="O5" s="1">
        <v>4</v>
      </c>
      <c r="P5" s="1" t="s">
        <v>178</v>
      </c>
    </row>
    <row r="6" spans="1:19" ht="72" thickBot="1" x14ac:dyDescent="0.25">
      <c r="A6" s="1" t="s">
        <v>354</v>
      </c>
      <c r="B6" s="1">
        <v>0</v>
      </c>
      <c r="C6" s="1">
        <v>0.31</v>
      </c>
      <c r="D6" s="1">
        <v>0.61</v>
      </c>
      <c r="E6" s="1">
        <v>0.7</v>
      </c>
      <c r="F6" s="1">
        <v>0.62</v>
      </c>
      <c r="G6" s="1">
        <v>0.72</v>
      </c>
      <c r="H6" s="1">
        <v>0.69</v>
      </c>
      <c r="I6" s="1">
        <v>0.5</v>
      </c>
      <c r="J6" s="1">
        <v>1.1499999999999999</v>
      </c>
      <c r="K6" s="1">
        <v>0.25</v>
      </c>
      <c r="L6" s="1">
        <v>-0.85</v>
      </c>
      <c r="M6" s="1" t="s">
        <v>355</v>
      </c>
      <c r="N6" s="1">
        <v>0.56000000000000005</v>
      </c>
      <c r="O6" s="1">
        <v>5</v>
      </c>
      <c r="P6" s="1" t="s">
        <v>178</v>
      </c>
    </row>
    <row r="8" spans="1:19" ht="15" thickBot="1" x14ac:dyDescent="0.25"/>
    <row r="9" spans="1:19" ht="43.5" thickBot="1" x14ac:dyDescent="0.25">
      <c r="A9" s="2" t="s">
        <v>79</v>
      </c>
      <c r="B9" s="2" t="s">
        <v>235</v>
      </c>
      <c r="C9" s="2" t="s">
        <v>236</v>
      </c>
      <c r="D9" s="2" t="s">
        <v>237</v>
      </c>
      <c r="E9" s="2" t="s">
        <v>238</v>
      </c>
      <c r="F9" s="2" t="s">
        <v>239</v>
      </c>
      <c r="G9" s="2" t="s">
        <v>240</v>
      </c>
      <c r="H9" s="2" t="s">
        <v>241</v>
      </c>
      <c r="K9" s="2" t="s">
        <v>476</v>
      </c>
      <c r="L9" s="2" t="s">
        <v>79</v>
      </c>
      <c r="M9" s="2" t="s">
        <v>235</v>
      </c>
      <c r="N9" s="2" t="s">
        <v>236</v>
      </c>
      <c r="O9" s="2" t="s">
        <v>237</v>
      </c>
      <c r="P9" s="2" t="s">
        <v>238</v>
      </c>
      <c r="Q9" s="2" t="s">
        <v>239</v>
      </c>
      <c r="R9" s="2" t="s">
        <v>240</v>
      </c>
      <c r="S9" s="2" t="s">
        <v>241</v>
      </c>
    </row>
    <row r="10" spans="1:19" ht="29.25" thickBot="1" x14ac:dyDescent="0.25">
      <c r="A10" s="1">
        <v>8</v>
      </c>
      <c r="B10" s="1" t="s">
        <v>475</v>
      </c>
      <c r="C10" s="1" t="s">
        <v>411</v>
      </c>
      <c r="D10" s="1" t="s">
        <v>412</v>
      </c>
      <c r="E10" s="1" t="s">
        <v>413</v>
      </c>
      <c r="F10" s="1" t="s">
        <v>414</v>
      </c>
      <c r="G10" s="1" t="s">
        <v>415</v>
      </c>
      <c r="H10" s="1" t="s">
        <v>416</v>
      </c>
      <c r="K10" s="1">
        <v>1</v>
      </c>
      <c r="L10" s="1">
        <v>12</v>
      </c>
      <c r="M10" s="1" t="s">
        <v>253</v>
      </c>
      <c r="N10" s="1" t="s">
        <v>388</v>
      </c>
      <c r="O10" s="1" t="s">
        <v>389</v>
      </c>
      <c r="P10" s="1" t="s">
        <v>390</v>
      </c>
      <c r="Q10" s="1" t="s">
        <v>391</v>
      </c>
      <c r="R10" s="1" t="s">
        <v>392</v>
      </c>
      <c r="S10" s="1" t="s">
        <v>393</v>
      </c>
    </row>
    <row r="11" spans="1:19" ht="29.25" thickBot="1" x14ac:dyDescent="0.25">
      <c r="A11" s="1">
        <v>9</v>
      </c>
      <c r="B11" s="1" t="s">
        <v>250</v>
      </c>
      <c r="C11" s="1" t="s">
        <v>441</v>
      </c>
      <c r="D11" s="1" t="s">
        <v>442</v>
      </c>
      <c r="E11" s="1" t="s">
        <v>443</v>
      </c>
      <c r="F11" s="1" t="s">
        <v>444</v>
      </c>
      <c r="G11" s="1" t="s">
        <v>445</v>
      </c>
      <c r="H11" s="1" t="s">
        <v>446</v>
      </c>
      <c r="K11" s="1">
        <v>2</v>
      </c>
      <c r="L11" s="1">
        <v>8</v>
      </c>
      <c r="M11" s="1" t="s">
        <v>249</v>
      </c>
      <c r="N11" s="1" t="s">
        <v>411</v>
      </c>
      <c r="O11" s="1" t="s">
        <v>412</v>
      </c>
      <c r="P11" s="1" t="s">
        <v>413</v>
      </c>
      <c r="Q11" s="1" t="s">
        <v>414</v>
      </c>
      <c r="R11" s="1" t="s">
        <v>415</v>
      </c>
      <c r="S11" s="1" t="s">
        <v>416</v>
      </c>
    </row>
    <row r="12" spans="1:19" ht="29.25" thickBot="1" x14ac:dyDescent="0.25">
      <c r="A12" s="1">
        <v>10</v>
      </c>
      <c r="B12" s="1" t="s">
        <v>251</v>
      </c>
      <c r="C12" s="1" t="s">
        <v>435</v>
      </c>
      <c r="D12" s="1" t="s">
        <v>436</v>
      </c>
      <c r="E12" s="1" t="s">
        <v>437</v>
      </c>
      <c r="F12" s="1" t="s">
        <v>438</v>
      </c>
      <c r="G12" s="1" t="s">
        <v>439</v>
      </c>
      <c r="H12" s="1" t="s">
        <v>440</v>
      </c>
      <c r="K12" s="1">
        <v>3</v>
      </c>
      <c r="L12" s="1">
        <v>11</v>
      </c>
      <c r="M12" s="1" t="s">
        <v>252</v>
      </c>
      <c r="N12" s="1" t="s">
        <v>417</v>
      </c>
      <c r="O12" s="1" t="s">
        <v>418</v>
      </c>
      <c r="P12" s="1" t="s">
        <v>419</v>
      </c>
      <c r="Q12" s="1" t="s">
        <v>420</v>
      </c>
      <c r="R12" s="1" t="s">
        <v>421</v>
      </c>
      <c r="S12" s="1" t="s">
        <v>422</v>
      </c>
    </row>
    <row r="13" spans="1:19" ht="29.25" thickBot="1" x14ac:dyDescent="0.25">
      <c r="A13" s="1">
        <v>11</v>
      </c>
      <c r="B13" s="1" t="s">
        <v>252</v>
      </c>
      <c r="C13" s="1" t="s">
        <v>417</v>
      </c>
      <c r="D13" s="1" t="s">
        <v>418</v>
      </c>
      <c r="E13" s="1" t="s">
        <v>419</v>
      </c>
      <c r="F13" s="1" t="s">
        <v>420</v>
      </c>
      <c r="G13" s="1" t="s">
        <v>421</v>
      </c>
      <c r="H13" s="1" t="s">
        <v>422</v>
      </c>
      <c r="K13" s="1">
        <v>4</v>
      </c>
      <c r="L13" s="1">
        <v>10</v>
      </c>
      <c r="M13" s="1" t="s">
        <v>251</v>
      </c>
      <c r="N13" s="1" t="s">
        <v>435</v>
      </c>
      <c r="O13" s="1" t="s">
        <v>436</v>
      </c>
      <c r="P13" s="1" t="s">
        <v>437</v>
      </c>
      <c r="Q13" s="1" t="s">
        <v>438</v>
      </c>
      <c r="R13" s="1" t="s">
        <v>439</v>
      </c>
      <c r="S13" s="1" t="s">
        <v>440</v>
      </c>
    </row>
    <row r="14" spans="1:19" ht="29.25" thickBot="1" x14ac:dyDescent="0.25">
      <c r="A14" s="1">
        <v>12</v>
      </c>
      <c r="B14" s="1" t="s">
        <v>253</v>
      </c>
      <c r="C14" s="1" t="s">
        <v>388</v>
      </c>
      <c r="D14" s="1" t="s">
        <v>389</v>
      </c>
      <c r="E14" s="1" t="s">
        <v>390</v>
      </c>
      <c r="F14" s="1" t="s">
        <v>391</v>
      </c>
      <c r="G14" s="1" t="s">
        <v>392</v>
      </c>
      <c r="H14" s="1" t="s">
        <v>393</v>
      </c>
      <c r="K14" s="1">
        <v>5</v>
      </c>
      <c r="L14" s="1">
        <v>9</v>
      </c>
      <c r="M14" s="1" t="s">
        <v>250</v>
      </c>
      <c r="N14" s="1" t="s">
        <v>441</v>
      </c>
      <c r="O14" s="1" t="s">
        <v>442</v>
      </c>
      <c r="P14" s="1" t="s">
        <v>443</v>
      </c>
      <c r="Q14" s="1" t="s">
        <v>444</v>
      </c>
      <c r="R14" s="1" t="s">
        <v>445</v>
      </c>
      <c r="S14" s="1" t="s">
        <v>446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F3C5-8B09-4F99-AD8A-64345D52FD20}">
  <dimension ref="A1:S27"/>
  <sheetViews>
    <sheetView topLeftCell="A10" zoomScaleNormal="100" workbookViewId="0">
      <selection activeCell="H27" sqref="A16:H27"/>
    </sheetView>
  </sheetViews>
  <sheetFormatPr defaultRowHeight="14.25" x14ac:dyDescent="0.2"/>
  <sheetData>
    <row r="1" spans="1:19" ht="29.25" thickBot="1" x14ac:dyDescent="0.25">
      <c r="A1" s="2" t="s">
        <v>79</v>
      </c>
      <c r="B1" s="2" t="s">
        <v>185</v>
      </c>
      <c r="C1" s="2" t="s">
        <v>186</v>
      </c>
      <c r="D1" s="2" t="s">
        <v>138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2" t="s">
        <v>192</v>
      </c>
      <c r="K1" s="2" t="s">
        <v>193</v>
      </c>
      <c r="L1" s="2" t="s">
        <v>194</v>
      </c>
      <c r="M1" s="2" t="s">
        <v>347</v>
      </c>
      <c r="N1" s="2" t="s">
        <v>139</v>
      </c>
      <c r="O1" s="2" t="s">
        <v>174</v>
      </c>
      <c r="P1" s="2" t="s">
        <v>175</v>
      </c>
    </row>
    <row r="2" spans="1:19" ht="72" thickBot="1" x14ac:dyDescent="0.25">
      <c r="A2" s="1" t="s">
        <v>357</v>
      </c>
      <c r="B2" s="1">
        <v>0.95</v>
      </c>
      <c r="C2" s="1">
        <v>0.89</v>
      </c>
      <c r="D2" s="1">
        <v>0.82</v>
      </c>
      <c r="E2" s="1">
        <v>0.91</v>
      </c>
      <c r="F2" s="1">
        <v>0.94</v>
      </c>
      <c r="G2" s="1">
        <v>0.9</v>
      </c>
      <c r="H2" s="1">
        <v>0.88</v>
      </c>
      <c r="I2" s="1">
        <v>0.85</v>
      </c>
      <c r="J2" s="1">
        <v>1.98</v>
      </c>
      <c r="K2" s="1">
        <v>1.72</v>
      </c>
      <c r="L2" s="1">
        <v>1.18</v>
      </c>
      <c r="M2" s="1" t="s">
        <v>358</v>
      </c>
      <c r="N2" s="1">
        <v>1.83</v>
      </c>
      <c r="O2" s="1">
        <v>1</v>
      </c>
      <c r="P2" s="1" t="s">
        <v>176</v>
      </c>
    </row>
    <row r="3" spans="1:19" ht="72" thickBot="1" x14ac:dyDescent="0.25">
      <c r="A3" s="1" t="s">
        <v>359</v>
      </c>
      <c r="B3" s="1">
        <v>0.92</v>
      </c>
      <c r="C3" s="1">
        <v>0.86</v>
      </c>
      <c r="D3" s="1">
        <v>0.75</v>
      </c>
      <c r="E3" s="1">
        <v>0.87</v>
      </c>
      <c r="F3" s="1">
        <v>0.89</v>
      </c>
      <c r="G3" s="1">
        <v>0.88</v>
      </c>
      <c r="H3" s="1">
        <v>0.85</v>
      </c>
      <c r="I3" s="1">
        <v>0.82</v>
      </c>
      <c r="J3" s="1">
        <v>1.89</v>
      </c>
      <c r="K3" s="1">
        <v>1.65</v>
      </c>
      <c r="L3" s="1">
        <v>1.1200000000000001</v>
      </c>
      <c r="M3" s="1" t="s">
        <v>360</v>
      </c>
      <c r="N3" s="1">
        <v>1.74</v>
      </c>
      <c r="O3" s="1">
        <v>2</v>
      </c>
      <c r="P3" s="1" t="s">
        <v>176</v>
      </c>
    </row>
    <row r="4" spans="1:19" ht="72" thickBot="1" x14ac:dyDescent="0.25">
      <c r="A4" s="1" t="s">
        <v>361</v>
      </c>
      <c r="B4" s="1">
        <v>0.41</v>
      </c>
      <c r="C4" s="1">
        <v>0.72</v>
      </c>
      <c r="D4" s="1">
        <v>1</v>
      </c>
      <c r="E4" s="1">
        <v>0.8</v>
      </c>
      <c r="F4" s="1">
        <v>0.76</v>
      </c>
      <c r="G4" s="1">
        <v>0.65</v>
      </c>
      <c r="H4" s="1">
        <v>0.62</v>
      </c>
      <c r="I4" s="1">
        <v>0.7</v>
      </c>
      <c r="J4" s="1">
        <v>0.85</v>
      </c>
      <c r="K4" s="1">
        <v>1.52</v>
      </c>
      <c r="L4" s="1">
        <v>0.45</v>
      </c>
      <c r="M4" s="1" t="s">
        <v>362</v>
      </c>
      <c r="N4" s="1">
        <v>1.02</v>
      </c>
      <c r="O4" s="1">
        <v>3</v>
      </c>
      <c r="P4" s="1" t="s">
        <v>177</v>
      </c>
    </row>
    <row r="5" spans="1:19" ht="72" thickBot="1" x14ac:dyDescent="0.25">
      <c r="A5" s="1" t="s">
        <v>363</v>
      </c>
      <c r="B5" s="1">
        <v>0.38</v>
      </c>
      <c r="C5" s="1">
        <v>0.65</v>
      </c>
      <c r="D5" s="1">
        <v>0.97</v>
      </c>
      <c r="E5" s="1">
        <v>0.76</v>
      </c>
      <c r="F5" s="1">
        <v>0.72</v>
      </c>
      <c r="G5" s="1">
        <v>0.62</v>
      </c>
      <c r="H5" s="1">
        <v>0.57999999999999996</v>
      </c>
      <c r="I5" s="1">
        <v>0.68</v>
      </c>
      <c r="J5" s="1">
        <v>0.78</v>
      </c>
      <c r="K5" s="1">
        <v>1.45</v>
      </c>
      <c r="L5" s="1">
        <v>0.38</v>
      </c>
      <c r="M5" s="1" t="s">
        <v>364</v>
      </c>
      <c r="N5" s="1">
        <v>0.94</v>
      </c>
      <c r="O5" s="1">
        <v>4</v>
      </c>
      <c r="P5" s="1" t="s">
        <v>177</v>
      </c>
    </row>
    <row r="6" spans="1:19" ht="72" thickBot="1" x14ac:dyDescent="0.25">
      <c r="A6" s="1" t="s">
        <v>365</v>
      </c>
      <c r="B6" s="1">
        <v>0.49</v>
      </c>
      <c r="C6" s="1">
        <v>0.37</v>
      </c>
      <c r="D6" s="1">
        <v>0.7</v>
      </c>
      <c r="E6" s="1">
        <v>0.56999999999999995</v>
      </c>
      <c r="F6" s="1">
        <v>0.57999999999999996</v>
      </c>
      <c r="G6" s="1">
        <v>0.68</v>
      </c>
      <c r="H6" s="1">
        <v>0.65</v>
      </c>
      <c r="I6" s="1">
        <v>0.6</v>
      </c>
      <c r="J6" s="1">
        <v>0.95</v>
      </c>
      <c r="K6" s="1">
        <v>0.52</v>
      </c>
      <c r="L6" s="1">
        <v>0.65</v>
      </c>
      <c r="M6" s="1" t="s">
        <v>366</v>
      </c>
      <c r="N6" s="1">
        <v>0.76</v>
      </c>
      <c r="O6" s="1">
        <v>5</v>
      </c>
      <c r="P6" s="1" t="s">
        <v>178</v>
      </c>
    </row>
    <row r="7" spans="1:19" ht="72" thickBot="1" x14ac:dyDescent="0.25">
      <c r="A7" s="1" t="s">
        <v>367</v>
      </c>
      <c r="B7" s="1">
        <v>0.44</v>
      </c>
      <c r="C7" s="1">
        <v>0.34</v>
      </c>
      <c r="D7" s="1">
        <v>0.65</v>
      </c>
      <c r="E7" s="1">
        <v>0.54</v>
      </c>
      <c r="F7" s="1">
        <v>0.53</v>
      </c>
      <c r="G7" s="1">
        <v>0.65</v>
      </c>
      <c r="H7" s="1">
        <v>0.62</v>
      </c>
      <c r="I7" s="1">
        <v>0.57999999999999996</v>
      </c>
      <c r="J7" s="1">
        <v>1.02</v>
      </c>
      <c r="K7" s="1">
        <v>0.48</v>
      </c>
      <c r="L7" s="1">
        <v>0.55000000000000004</v>
      </c>
      <c r="M7" s="1" t="s">
        <v>368</v>
      </c>
      <c r="N7" s="1">
        <v>0.75</v>
      </c>
      <c r="O7" s="1">
        <v>6</v>
      </c>
      <c r="P7" s="1" t="s">
        <v>178</v>
      </c>
    </row>
    <row r="8" spans="1:19" ht="72" thickBot="1" x14ac:dyDescent="0.25">
      <c r="A8" s="1" t="s">
        <v>369</v>
      </c>
      <c r="B8" s="1">
        <v>0.98</v>
      </c>
      <c r="C8" s="1">
        <v>0.52</v>
      </c>
      <c r="D8" s="1">
        <v>0.73</v>
      </c>
      <c r="E8" s="1">
        <v>0.48</v>
      </c>
      <c r="F8" s="1">
        <v>0.51</v>
      </c>
      <c r="G8" s="1">
        <v>0.62</v>
      </c>
      <c r="H8" s="1">
        <v>0.59</v>
      </c>
      <c r="I8" s="1">
        <v>0.55000000000000004</v>
      </c>
      <c r="J8" s="1">
        <v>0.88</v>
      </c>
      <c r="K8" s="1">
        <v>0.35</v>
      </c>
      <c r="L8" s="1">
        <v>1.05</v>
      </c>
      <c r="M8" s="1" t="s">
        <v>370</v>
      </c>
      <c r="N8" s="1">
        <v>0.72</v>
      </c>
      <c r="O8" s="1">
        <v>7</v>
      </c>
      <c r="P8" s="1" t="s">
        <v>178</v>
      </c>
    </row>
    <row r="9" spans="1:19" ht="29.25" thickBot="1" x14ac:dyDescent="0.25">
      <c r="A9" s="1" t="s">
        <v>371</v>
      </c>
      <c r="B9" s="1">
        <v>0.22</v>
      </c>
      <c r="C9" s="1">
        <v>0.08</v>
      </c>
      <c r="D9" s="1">
        <v>0.1</v>
      </c>
      <c r="E9" s="1">
        <v>0.21</v>
      </c>
      <c r="F9" s="1">
        <v>0.2</v>
      </c>
      <c r="G9" s="1">
        <v>0.45</v>
      </c>
      <c r="H9" s="1">
        <v>0.42</v>
      </c>
      <c r="I9" s="1">
        <v>0.4</v>
      </c>
      <c r="J9" s="1">
        <v>-0.55000000000000004</v>
      </c>
      <c r="K9" s="1">
        <v>-1.25</v>
      </c>
      <c r="L9" s="1">
        <v>0.25</v>
      </c>
      <c r="M9" s="1">
        <f>-0.55*0.604-1.25*0.282+0.25*0.114</f>
        <v>-0.65620000000000001</v>
      </c>
      <c r="N9" s="1">
        <v>-0.63</v>
      </c>
      <c r="O9" s="1">
        <v>8</v>
      </c>
      <c r="P9" s="1" t="s">
        <v>179</v>
      </c>
    </row>
    <row r="10" spans="1:19" ht="29.25" thickBot="1" x14ac:dyDescent="0.25">
      <c r="A10" s="1" t="s">
        <v>372</v>
      </c>
      <c r="B10" s="1">
        <v>0.18</v>
      </c>
      <c r="C10" s="1">
        <v>0.12</v>
      </c>
      <c r="D10" s="1">
        <v>0.15</v>
      </c>
      <c r="E10" s="1">
        <v>0.17</v>
      </c>
      <c r="F10" s="1">
        <v>0.16</v>
      </c>
      <c r="G10" s="1">
        <v>0.42</v>
      </c>
      <c r="H10" s="1">
        <v>0.39</v>
      </c>
      <c r="I10" s="1">
        <v>0.38</v>
      </c>
      <c r="J10" s="1">
        <v>-0.72</v>
      </c>
      <c r="K10" s="1">
        <v>-1.18</v>
      </c>
      <c r="L10" s="1">
        <v>0.18</v>
      </c>
      <c r="M10" s="1">
        <f>-0.72*0.604-1.18*0.282+0.18*0.114</f>
        <v>-0.7471199999999999</v>
      </c>
      <c r="N10" s="1">
        <v>-0.71</v>
      </c>
      <c r="O10" s="1">
        <v>9</v>
      </c>
      <c r="P10" s="1" t="s">
        <v>179</v>
      </c>
    </row>
    <row r="11" spans="1:19" ht="29.25" thickBot="1" x14ac:dyDescent="0.25">
      <c r="A11" s="1" t="s">
        <v>373</v>
      </c>
      <c r="B11" s="1">
        <v>0.2</v>
      </c>
      <c r="C11" s="1">
        <v>0.05</v>
      </c>
      <c r="D11" s="1">
        <v>0.18</v>
      </c>
      <c r="E11" s="1">
        <v>0.13</v>
      </c>
      <c r="F11" s="1">
        <v>0.18</v>
      </c>
      <c r="G11" s="1">
        <v>0.4</v>
      </c>
      <c r="H11" s="1">
        <v>0.37</v>
      </c>
      <c r="I11" s="1">
        <v>0.35</v>
      </c>
      <c r="J11" s="1">
        <v>-0.68</v>
      </c>
      <c r="K11" s="1">
        <v>-1.22</v>
      </c>
      <c r="L11" s="1">
        <v>0.22</v>
      </c>
      <c r="M11" s="1">
        <f>-0.68*0.604-1.22*0.282+0.22*0.114</f>
        <v>-0.72968</v>
      </c>
      <c r="N11" s="1">
        <v>-0.72</v>
      </c>
      <c r="O11" s="1">
        <v>10</v>
      </c>
      <c r="P11" s="1" t="s">
        <v>179</v>
      </c>
    </row>
    <row r="12" spans="1:19" ht="29.25" thickBot="1" x14ac:dyDescent="0.25">
      <c r="A12" s="1" t="s">
        <v>374</v>
      </c>
      <c r="B12" s="1">
        <v>0.26</v>
      </c>
      <c r="C12" s="1">
        <v>0</v>
      </c>
      <c r="D12" s="1">
        <v>0.22</v>
      </c>
      <c r="E12" s="1">
        <v>0</v>
      </c>
      <c r="F12" s="1">
        <v>0</v>
      </c>
      <c r="G12" s="1">
        <v>0.35</v>
      </c>
      <c r="H12" s="1">
        <v>0.32</v>
      </c>
      <c r="I12" s="1">
        <v>0.3</v>
      </c>
      <c r="J12" s="1">
        <v>-1.05</v>
      </c>
      <c r="K12" s="1">
        <v>-1.35</v>
      </c>
      <c r="L12" s="1">
        <v>-0.15</v>
      </c>
      <c r="M12" s="1">
        <f>-1.05*0.604-1.35*0.282-0.15*0.114</f>
        <v>-1.0319999999999998</v>
      </c>
      <c r="N12" s="1">
        <v>-1.0900000000000001</v>
      </c>
      <c r="O12" s="1">
        <v>11</v>
      </c>
      <c r="P12" s="1" t="s">
        <v>179</v>
      </c>
    </row>
    <row r="15" spans="1:19" ht="15" thickBot="1" x14ac:dyDescent="0.25"/>
    <row r="16" spans="1:19" ht="43.5" thickBot="1" x14ac:dyDescent="0.25">
      <c r="A16" s="2" t="s">
        <v>79</v>
      </c>
      <c r="B16" s="2" t="s">
        <v>235</v>
      </c>
      <c r="C16" s="2" t="s">
        <v>236</v>
      </c>
      <c r="D16" s="2" t="s">
        <v>237</v>
      </c>
      <c r="E16" s="2" t="s">
        <v>238</v>
      </c>
      <c r="F16" s="2" t="s">
        <v>239</v>
      </c>
      <c r="G16" s="2" t="s">
        <v>240</v>
      </c>
      <c r="H16" s="2" t="s">
        <v>241</v>
      </c>
      <c r="K16" s="9" t="s">
        <v>476</v>
      </c>
      <c r="L16" s="9" t="s">
        <v>79</v>
      </c>
      <c r="M16" s="9" t="s">
        <v>235</v>
      </c>
      <c r="N16" s="9" t="s">
        <v>236</v>
      </c>
      <c r="O16" s="9" t="s">
        <v>237</v>
      </c>
      <c r="P16" s="9" t="s">
        <v>238</v>
      </c>
      <c r="Q16" s="9" t="s">
        <v>239</v>
      </c>
      <c r="R16" s="9" t="s">
        <v>240</v>
      </c>
      <c r="S16" s="9" t="s">
        <v>241</v>
      </c>
    </row>
    <row r="17" spans="1:19" ht="29.25" thickBot="1" x14ac:dyDescent="0.25">
      <c r="A17" s="1">
        <v>1</v>
      </c>
      <c r="B17" s="1" t="s">
        <v>242</v>
      </c>
      <c r="C17" s="1" t="s">
        <v>429</v>
      </c>
      <c r="D17" s="1" t="s">
        <v>430</v>
      </c>
      <c r="E17" s="1" t="s">
        <v>431</v>
      </c>
      <c r="F17" s="1" t="s">
        <v>432</v>
      </c>
      <c r="G17" s="1" t="s">
        <v>433</v>
      </c>
      <c r="H17" s="1" t="s">
        <v>434</v>
      </c>
      <c r="K17" s="9">
        <v>1</v>
      </c>
      <c r="L17" s="9">
        <v>15</v>
      </c>
      <c r="M17" s="9" t="s">
        <v>294</v>
      </c>
      <c r="N17" s="9" t="s">
        <v>376</v>
      </c>
      <c r="O17" s="9" t="s">
        <v>377</v>
      </c>
      <c r="P17" s="9" t="s">
        <v>378</v>
      </c>
      <c r="Q17" s="9" t="s">
        <v>379</v>
      </c>
      <c r="R17" s="9" t="s">
        <v>380</v>
      </c>
      <c r="S17" s="9" t="s">
        <v>381</v>
      </c>
    </row>
    <row r="18" spans="1:19" ht="29.25" thickBot="1" x14ac:dyDescent="0.25">
      <c r="A18" s="1">
        <v>2</v>
      </c>
      <c r="B18" s="1" t="s">
        <v>243</v>
      </c>
      <c r="C18" s="1" t="s">
        <v>447</v>
      </c>
      <c r="D18" s="1" t="s">
        <v>448</v>
      </c>
      <c r="E18" s="1" t="s">
        <v>449</v>
      </c>
      <c r="F18" s="1" t="s">
        <v>450</v>
      </c>
      <c r="G18" s="1" t="s">
        <v>451</v>
      </c>
      <c r="H18" s="1" t="s">
        <v>452</v>
      </c>
      <c r="K18" s="9">
        <v>2</v>
      </c>
      <c r="L18" s="9">
        <v>16</v>
      </c>
      <c r="M18" s="9" t="s">
        <v>296</v>
      </c>
      <c r="N18" s="9" t="s">
        <v>382</v>
      </c>
      <c r="O18" s="9" t="s">
        <v>383</v>
      </c>
      <c r="P18" s="9" t="s">
        <v>384</v>
      </c>
      <c r="Q18" s="9" t="s">
        <v>385</v>
      </c>
      <c r="R18" s="9" t="s">
        <v>386</v>
      </c>
      <c r="S18" s="9" t="s">
        <v>387</v>
      </c>
    </row>
    <row r="19" spans="1:19" ht="29.25" thickBot="1" x14ac:dyDescent="0.25">
      <c r="A19" s="1">
        <v>3</v>
      </c>
      <c r="B19" s="1" t="s">
        <v>244</v>
      </c>
      <c r="C19" s="1" t="s">
        <v>399</v>
      </c>
      <c r="D19" s="1" t="s">
        <v>400</v>
      </c>
      <c r="E19" s="1" t="s">
        <v>401</v>
      </c>
      <c r="F19" s="1" t="s">
        <v>402</v>
      </c>
      <c r="G19" s="1" t="s">
        <v>403</v>
      </c>
      <c r="H19" s="1" t="s">
        <v>404</v>
      </c>
      <c r="K19" s="9">
        <v>3</v>
      </c>
      <c r="L19" s="9">
        <v>3</v>
      </c>
      <c r="M19" s="9" t="s">
        <v>244</v>
      </c>
      <c r="N19" s="9" t="s">
        <v>399</v>
      </c>
      <c r="O19" s="9" t="s">
        <v>400</v>
      </c>
      <c r="P19" s="9" t="s">
        <v>401</v>
      </c>
      <c r="Q19" s="9" t="s">
        <v>402</v>
      </c>
      <c r="R19" s="9" t="s">
        <v>403</v>
      </c>
      <c r="S19" s="9" t="s">
        <v>404</v>
      </c>
    </row>
    <row r="20" spans="1:19" ht="29.25" thickBot="1" x14ac:dyDescent="0.25">
      <c r="A20" s="1">
        <v>4</v>
      </c>
      <c r="B20" s="1" t="s">
        <v>245</v>
      </c>
      <c r="C20" s="1" t="s">
        <v>453</v>
      </c>
      <c r="D20" s="1" t="s">
        <v>454</v>
      </c>
      <c r="E20" s="1" t="s">
        <v>455</v>
      </c>
      <c r="F20" s="1" t="s">
        <v>456</v>
      </c>
      <c r="G20" s="1" t="s">
        <v>457</v>
      </c>
      <c r="H20" s="1" t="s">
        <v>458</v>
      </c>
      <c r="K20" s="9">
        <v>4</v>
      </c>
      <c r="L20" s="9">
        <v>6</v>
      </c>
      <c r="M20" s="9" t="s">
        <v>247</v>
      </c>
      <c r="N20" s="9" t="s">
        <v>405</v>
      </c>
      <c r="O20" s="9" t="s">
        <v>406</v>
      </c>
      <c r="P20" s="9" t="s">
        <v>407</v>
      </c>
      <c r="Q20" s="9" t="s">
        <v>408</v>
      </c>
      <c r="R20" s="9" t="s">
        <v>409</v>
      </c>
      <c r="S20" s="9" t="s">
        <v>410</v>
      </c>
    </row>
    <row r="21" spans="1:19" ht="29.25" thickBot="1" x14ac:dyDescent="0.25">
      <c r="A21" s="1">
        <v>5</v>
      </c>
      <c r="B21" s="1" t="s">
        <v>474</v>
      </c>
      <c r="C21" s="1" t="s">
        <v>459</v>
      </c>
      <c r="D21" s="1" t="s">
        <v>460</v>
      </c>
      <c r="E21" s="1" t="s">
        <v>461</v>
      </c>
      <c r="F21" s="1" t="s">
        <v>462</v>
      </c>
      <c r="G21" s="1" t="s">
        <v>463</v>
      </c>
      <c r="H21" s="1" t="s">
        <v>464</v>
      </c>
      <c r="K21" s="9">
        <v>5</v>
      </c>
      <c r="L21" s="9">
        <v>14</v>
      </c>
      <c r="M21" s="9" t="s">
        <v>292</v>
      </c>
      <c r="N21" s="9" t="s">
        <v>382</v>
      </c>
      <c r="O21" s="9" t="s">
        <v>394</v>
      </c>
      <c r="P21" s="9" t="s">
        <v>395</v>
      </c>
      <c r="Q21" s="9" t="s">
        <v>477</v>
      </c>
      <c r="R21" s="9" t="s">
        <v>397</v>
      </c>
      <c r="S21" s="9" t="s">
        <v>398</v>
      </c>
    </row>
    <row r="22" spans="1:19" ht="29.25" thickBot="1" x14ac:dyDescent="0.25">
      <c r="A22" s="1">
        <v>6</v>
      </c>
      <c r="B22" s="1" t="s">
        <v>473</v>
      </c>
      <c r="C22" s="1" t="s">
        <v>405</v>
      </c>
      <c r="D22" s="1" t="s">
        <v>406</v>
      </c>
      <c r="E22" s="1" t="s">
        <v>407</v>
      </c>
      <c r="F22" s="1" t="s">
        <v>408</v>
      </c>
      <c r="G22" s="1" t="s">
        <v>409</v>
      </c>
      <c r="H22" s="1" t="s">
        <v>410</v>
      </c>
      <c r="K22" s="9">
        <v>6</v>
      </c>
      <c r="L22" s="9">
        <v>7</v>
      </c>
      <c r="M22" s="9" t="s">
        <v>248</v>
      </c>
      <c r="N22" s="9" t="s">
        <v>423</v>
      </c>
      <c r="O22" s="9" t="s">
        <v>424</v>
      </c>
      <c r="P22" s="9" t="s">
        <v>425</v>
      </c>
      <c r="Q22" s="9" t="s">
        <v>426</v>
      </c>
      <c r="R22" s="9" t="s">
        <v>427</v>
      </c>
      <c r="S22" s="9" t="s">
        <v>428</v>
      </c>
    </row>
    <row r="23" spans="1:19" ht="29.25" thickBot="1" x14ac:dyDescent="0.25">
      <c r="A23" s="1">
        <v>7</v>
      </c>
      <c r="B23" s="1" t="s">
        <v>472</v>
      </c>
      <c r="C23" s="1" t="s">
        <v>423</v>
      </c>
      <c r="D23" s="1" t="s">
        <v>424</v>
      </c>
      <c r="E23" s="1" t="s">
        <v>425</v>
      </c>
      <c r="F23" s="1" t="s">
        <v>426</v>
      </c>
      <c r="G23" s="1" t="s">
        <v>427</v>
      </c>
      <c r="H23" s="1" t="s">
        <v>428</v>
      </c>
      <c r="K23" s="9">
        <v>7</v>
      </c>
      <c r="L23" s="9">
        <v>1</v>
      </c>
      <c r="M23" s="9" t="s">
        <v>242</v>
      </c>
      <c r="N23" s="9" t="s">
        <v>429</v>
      </c>
      <c r="O23" s="9" t="s">
        <v>430</v>
      </c>
      <c r="P23" s="9" t="s">
        <v>431</v>
      </c>
      <c r="Q23" s="9" t="s">
        <v>432</v>
      </c>
      <c r="R23" s="9" t="s">
        <v>433</v>
      </c>
      <c r="S23" s="9" t="s">
        <v>434</v>
      </c>
    </row>
    <row r="24" spans="1:19" ht="29.25" thickBot="1" x14ac:dyDescent="0.25">
      <c r="A24" s="1">
        <v>13</v>
      </c>
      <c r="B24" s="1" t="s">
        <v>471</v>
      </c>
      <c r="C24" s="1" t="s">
        <v>465</v>
      </c>
      <c r="D24" s="1" t="s">
        <v>466</v>
      </c>
      <c r="E24" s="1" t="s">
        <v>467</v>
      </c>
      <c r="F24" s="1" t="s">
        <v>468</v>
      </c>
      <c r="G24" s="1" t="s">
        <v>469</v>
      </c>
      <c r="H24" s="1" t="s">
        <v>470</v>
      </c>
      <c r="K24" s="9">
        <v>8</v>
      </c>
      <c r="L24" s="9">
        <v>2</v>
      </c>
      <c r="M24" s="9" t="s">
        <v>243</v>
      </c>
      <c r="N24" s="9" t="s">
        <v>447</v>
      </c>
      <c r="O24" s="9" t="s">
        <v>448</v>
      </c>
      <c r="P24" s="9" t="s">
        <v>449</v>
      </c>
      <c r="Q24" s="9" t="s">
        <v>450</v>
      </c>
      <c r="R24" s="9" t="s">
        <v>451</v>
      </c>
      <c r="S24" s="9" t="s">
        <v>452</v>
      </c>
    </row>
    <row r="25" spans="1:19" ht="29.25" thickBot="1" x14ac:dyDescent="0.25">
      <c r="A25" s="1">
        <v>14</v>
      </c>
      <c r="B25" s="1" t="s">
        <v>292</v>
      </c>
      <c r="C25" s="1" t="s">
        <v>382</v>
      </c>
      <c r="D25" s="1" t="s">
        <v>394</v>
      </c>
      <c r="E25" s="1" t="s">
        <v>395</v>
      </c>
      <c r="F25" s="1" t="s">
        <v>396</v>
      </c>
      <c r="G25" s="1" t="s">
        <v>397</v>
      </c>
      <c r="H25" s="1" t="s">
        <v>398</v>
      </c>
      <c r="K25" s="9">
        <v>9</v>
      </c>
      <c r="L25" s="9">
        <v>4</v>
      </c>
      <c r="M25" s="9" t="s">
        <v>245</v>
      </c>
      <c r="N25" s="9" t="s">
        <v>453</v>
      </c>
      <c r="O25" s="9" t="s">
        <v>454</v>
      </c>
      <c r="P25" s="9" t="s">
        <v>455</v>
      </c>
      <c r="Q25" s="9" t="s">
        <v>456</v>
      </c>
      <c r="R25" s="9" t="s">
        <v>457</v>
      </c>
      <c r="S25" s="9" t="s">
        <v>458</v>
      </c>
    </row>
    <row r="26" spans="1:19" ht="29.25" thickBot="1" x14ac:dyDescent="0.25">
      <c r="A26" s="1">
        <v>15</v>
      </c>
      <c r="B26" s="1" t="s">
        <v>294</v>
      </c>
      <c r="C26" s="1" t="s">
        <v>376</v>
      </c>
      <c r="D26" s="1" t="s">
        <v>377</v>
      </c>
      <c r="E26" s="1" t="s">
        <v>378</v>
      </c>
      <c r="F26" s="1" t="s">
        <v>379</v>
      </c>
      <c r="G26" s="1" t="s">
        <v>380</v>
      </c>
      <c r="H26" s="1" t="s">
        <v>381</v>
      </c>
      <c r="K26" s="9">
        <v>10</v>
      </c>
      <c r="L26" s="9">
        <v>5</v>
      </c>
      <c r="M26" s="9" t="s">
        <v>246</v>
      </c>
      <c r="N26" s="9" t="s">
        <v>459</v>
      </c>
      <c r="O26" s="9" t="s">
        <v>460</v>
      </c>
      <c r="P26" s="9" t="s">
        <v>461</v>
      </c>
      <c r="Q26" s="9" t="s">
        <v>462</v>
      </c>
      <c r="R26" s="9" t="s">
        <v>463</v>
      </c>
      <c r="S26" s="9" t="s">
        <v>464</v>
      </c>
    </row>
    <row r="27" spans="1:19" ht="29.25" thickBot="1" x14ac:dyDescent="0.25">
      <c r="A27" s="1">
        <v>16</v>
      </c>
      <c r="B27" s="1" t="s">
        <v>296</v>
      </c>
      <c r="C27" s="1" t="s">
        <v>382</v>
      </c>
      <c r="D27" s="1" t="s">
        <v>383</v>
      </c>
      <c r="E27" s="1" t="s">
        <v>384</v>
      </c>
      <c r="F27" s="1" t="s">
        <v>385</v>
      </c>
      <c r="G27" s="1" t="s">
        <v>386</v>
      </c>
      <c r="H27" s="1" t="s">
        <v>387</v>
      </c>
      <c r="K27" s="9">
        <v>11</v>
      </c>
      <c r="L27" s="9">
        <v>13</v>
      </c>
      <c r="M27" s="9" t="s">
        <v>290</v>
      </c>
      <c r="N27" s="9" t="s">
        <v>465</v>
      </c>
      <c r="O27" s="9" t="s">
        <v>466</v>
      </c>
      <c r="P27" s="9" t="s">
        <v>467</v>
      </c>
      <c r="Q27" s="9" t="s">
        <v>468</v>
      </c>
      <c r="R27" s="9" t="s">
        <v>469</v>
      </c>
      <c r="S27" s="9" t="s">
        <v>470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可溶性蛋白质</vt:lpstr>
      <vt:lpstr>可溶性糖</vt:lpstr>
      <vt:lpstr>脯氨酸</vt:lpstr>
      <vt:lpstr>丙二醛</vt:lpstr>
      <vt:lpstr>POD</vt:lpstr>
      <vt:lpstr>CAT</vt:lpstr>
      <vt:lpstr>总指标表</vt:lpstr>
      <vt:lpstr>大白菜对比</vt:lpstr>
      <vt:lpstr>小白菜对比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wangjunyi</dc:creator>
  <cp:lastModifiedBy>Chris Green</cp:lastModifiedBy>
  <dcterms:created xsi:type="dcterms:W3CDTF">2015-06-05T18:19:34Z</dcterms:created>
  <dcterms:modified xsi:type="dcterms:W3CDTF">2026-04-27T13:32:17Z</dcterms:modified>
</cp:coreProperties>
</file>